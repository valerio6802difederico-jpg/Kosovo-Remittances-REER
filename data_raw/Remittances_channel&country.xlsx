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pe\Documents\MELE\Data Mining for Computational Statistics\Progetto\Data_mining_project\data_raw\"/>
    </mc:Choice>
  </mc:AlternateContent>
  <xr:revisionPtr revIDLastSave="0" documentId="13_ncr:1_{A4F394B4-3487-4AC4-A144-4A5177013773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Quarter" sheetId="1" r:id="rId1"/>
    <sheet name="Annual" sheetId="2" r:id="rId2"/>
    <sheet name="Monthl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3" l="1"/>
  <c r="K40" i="3" l="1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D10" i="1"/>
  <c r="D8" i="1"/>
  <c r="D9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7" i="1"/>
</calcChain>
</file>

<file path=xl/sharedStrings.xml><?xml version="1.0" encoding="utf-8"?>
<sst xmlns="http://schemas.openxmlformats.org/spreadsheetml/2006/main" count="97" uniqueCount="90">
  <si>
    <t>Total_remittance_inflow</t>
  </si>
  <si>
    <t>2009_Q1</t>
  </si>
  <si>
    <t>2009_Q2</t>
  </si>
  <si>
    <t>2009_Q3</t>
  </si>
  <si>
    <t>2009_Q4</t>
  </si>
  <si>
    <t>2010_Q1</t>
  </si>
  <si>
    <t>2010_Q2</t>
  </si>
  <si>
    <t>2010_Q3</t>
  </si>
  <si>
    <t>2010_Q4</t>
  </si>
  <si>
    <t>2011_Q1</t>
  </si>
  <si>
    <t>2011_Q2</t>
  </si>
  <si>
    <t>2011_Q3</t>
  </si>
  <si>
    <t>2011_Q4</t>
  </si>
  <si>
    <t>2012_Q1</t>
  </si>
  <si>
    <t>2012_Q2</t>
  </si>
  <si>
    <t>2012_Q3</t>
  </si>
  <si>
    <t>2012_Q4</t>
  </si>
  <si>
    <t>2013_Q1</t>
  </si>
  <si>
    <t>2013_Q2</t>
  </si>
  <si>
    <t>2013_Q3</t>
  </si>
  <si>
    <t>2013_Q4</t>
  </si>
  <si>
    <t>2014_Q1</t>
  </si>
  <si>
    <t>2014_Q2</t>
  </si>
  <si>
    <t>2014_Q3</t>
  </si>
  <si>
    <t>2014_Q4</t>
  </si>
  <si>
    <t>2015_Q1</t>
  </si>
  <si>
    <t>2015_Q2</t>
  </si>
  <si>
    <t>2015_Q3</t>
  </si>
  <si>
    <t>2015_Q4</t>
  </si>
  <si>
    <t>2016_Q1</t>
  </si>
  <si>
    <t>2016_Q2</t>
  </si>
  <si>
    <t>2016_Q3</t>
  </si>
  <si>
    <t>2016_Q4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</si>
  <si>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</si>
  <si>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</si>
  <si>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</si>
  <si>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</si>
  <si>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</si>
  <si>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</si>
  <si>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</si>
  <si>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</si>
  <si>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</si>
  <si>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</si>
  <si>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</si>
  <si>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</si>
  <si>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 xml:space="preserve"> 2020_Q1</t>
  </si>
  <si>
    <t xml:space="preserve"> 2020_Q2</t>
  </si>
  <si>
    <t xml:space="preserve"> 2020_Q3</t>
  </si>
  <si>
    <t xml:space="preserve"> 2020_Q4</t>
  </si>
  <si>
    <t xml:space="preserve"> 2021_Q1</t>
  </si>
  <si>
    <t xml:space="preserve"> 2021_Q2</t>
  </si>
  <si>
    <t xml:space="preserve"> 2021_Q3</t>
  </si>
  <si>
    <t xml:space="preserve"> 2021_Q4</t>
  </si>
  <si>
    <t xml:space="preserve"> 2022_Q1</t>
  </si>
  <si>
    <t xml:space="preserve"> 2022_Q2</t>
  </si>
  <si>
    <t xml:space="preserve"> 2022_Q3</t>
  </si>
  <si>
    <t xml:space="preserve"> 2022_Q4</t>
  </si>
  <si>
    <t xml:space="preserve"> 2023_Q1</t>
  </si>
  <si>
    <t xml:space="preserve"> 2023_Q2</t>
  </si>
  <si>
    <t xml:space="preserve"> 2023_Q3</t>
  </si>
  <si>
    <t xml:space="preserve"> 2023_Q4</t>
  </si>
  <si>
    <t>2024_Q1</t>
  </si>
  <si>
    <t>2024_Q2</t>
  </si>
  <si>
    <t>2024_Q3</t>
  </si>
  <si>
    <t>2024_Q4</t>
  </si>
  <si>
    <t>2025_Q1</t>
  </si>
  <si>
    <t>2025_Q2</t>
  </si>
  <si>
    <t>2025_Q3</t>
  </si>
  <si>
    <t>2025_Q4</t>
  </si>
  <si>
    <t>Year</t>
  </si>
  <si>
    <t>FDI</t>
  </si>
  <si>
    <t>Inflation rate</t>
  </si>
  <si>
    <t>FDI growth rate</t>
  </si>
  <si>
    <t>Remittances</t>
  </si>
  <si>
    <t xml:space="preserve">GDP </t>
  </si>
  <si>
    <t>Inflation</t>
  </si>
  <si>
    <t>Remittances_gr</t>
  </si>
  <si>
    <t>FDI_gr</t>
  </si>
  <si>
    <t>GDP</t>
  </si>
  <si>
    <t>BP</t>
  </si>
  <si>
    <t>CA</t>
  </si>
  <si>
    <t>NEER</t>
  </si>
  <si>
    <t>Month</t>
  </si>
  <si>
    <t>REER_Total</t>
  </si>
  <si>
    <t>REER_CEFTA</t>
  </si>
  <si>
    <t>REER_EU</t>
  </si>
  <si>
    <t>Exports</t>
  </si>
  <si>
    <t>Imports</t>
  </si>
  <si>
    <t>NX</t>
  </si>
  <si>
    <t>Avg Wage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</si>
</sst>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.00_);_(* \(#,##0.00\);_(* &quot;-&quot;??_);_(@_)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2"/>
      <color theme="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21" fillId="0" borderId="0" applyFon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" fontId="18" fillId="0" borderId="0" xfId="0" applyNumberFormat="1" applyFont="1"/>
    <xf numFmtId="2" fontId="19" fillId="0" borderId="0" xfId="0" applyNumberFormat="1" applyFont="1"/>
    <xf numFmtId="17" fontId="0" fillId="0" borderId="0" xfId="0" applyNumberFormat="1"/>
    <xf numFmtId="0" fontId="20" fillId="0" borderId="0" xfId="0" applyFon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Comma 19 2" xfId="42" xr:uid="{F2E2D514-2E26-407A-8328-DFC1FDF7BAB2}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opLeftCell="A43" zoomScale="77" workbookViewId="0">
      <selection activeCell="F22" sqref="F22:F69"/>
    </sheetView>
  </sheetViews>
  <sheetFormatPr defaultColWidth="10.6640625" defaultRowHeight="15.5" x14ac:dyDescent="0.35"/>
  <cols>
    <col min="1" max="1" width="10.33203125" bestFit="1" customWidth="1"/>
    <col min="2" max="2" width="22.9140625" bestFit="1" customWidth="1"/>
    <col min="3" max="5" width="22.9140625" customWidth="1"/>
    <col min="6" max="6" width="21.83203125" bestFit="1" customWidth="1"/>
  </cols>
  <sheetData>
    <row r="1" spans="1:8" ht="16" customHeight="1" x14ac:dyDescent="0.35">
      <c r="A1" t="s">
        <v>69</v>
      </c>
      <c r="B1" t="s">
        <v>78</v>
      </c>
      <c r="C1" t="s">
        <v>71</v>
      </c>
      <c r="D1" t="s">
        <v>72</v>
      </c>
      <c r="E1" t="s">
        <v>70</v>
      </c>
      <c r="F1" t="s">
        <v>0</v>
      </c>
      <c r="G1" t="s">
        <v>80</v>
      </c>
      <c r="H1" t="s">
        <v>79</v>
      </c>
    </row>
    <row r="2" spans="1:8" ht="16" customHeight="1" x14ac:dyDescent="0.35">
      <c r="A2" t="s">
        <v>1</v>
      </c>
      <c r="F2">
        <v>121.84</v>
      </c>
      <c r="G2" s="3">
        <v>-52.586189292034298</v>
      </c>
      <c r="H2">
        <v>-53.1131416420343</v>
      </c>
    </row>
    <row r="3" spans="1:8" ht="16" customHeight="1" x14ac:dyDescent="0.35">
      <c r="A3" t="s">
        <v>2</v>
      </c>
      <c r="F3">
        <v>142.22</v>
      </c>
      <c r="G3" s="3">
        <v>-135.34633777213548</v>
      </c>
      <c r="H3">
        <v>-131.3753296221355</v>
      </c>
    </row>
    <row r="4" spans="1:8" ht="16" customHeight="1" x14ac:dyDescent="0.35">
      <c r="A4" t="s">
        <v>3</v>
      </c>
      <c r="F4">
        <v>174.74</v>
      </c>
      <c r="G4" s="3">
        <v>-110.43579051446784</v>
      </c>
      <c r="H4">
        <v>-105.47957799446785</v>
      </c>
    </row>
    <row r="5" spans="1:8" ht="16" customHeight="1" x14ac:dyDescent="0.35">
      <c r="A5" t="s">
        <v>4</v>
      </c>
      <c r="F5">
        <v>146.88999999999999</v>
      </c>
      <c r="G5" s="3">
        <v>-75.751475953055774</v>
      </c>
      <c r="H5">
        <v>16.129511346944227</v>
      </c>
    </row>
    <row r="6" spans="1:8" ht="16" customHeight="1" x14ac:dyDescent="0.35">
      <c r="A6" t="s">
        <v>5</v>
      </c>
      <c r="E6" s="2">
        <v>69.508862793543216</v>
      </c>
      <c r="F6">
        <v>120.69</v>
      </c>
      <c r="G6" s="3">
        <v>-57.94815374523057</v>
      </c>
      <c r="H6">
        <v>-53.280385768985077</v>
      </c>
    </row>
    <row r="7" spans="1:8" ht="16" customHeight="1" x14ac:dyDescent="0.35">
      <c r="A7" t="s">
        <v>6</v>
      </c>
      <c r="D7" s="1">
        <f>(E7-E6)/E6*100</f>
        <v>-30.955329177408657</v>
      </c>
      <c r="E7" s="2">
        <v>47.992165508328583</v>
      </c>
      <c r="F7">
        <v>145</v>
      </c>
      <c r="G7" s="3">
        <v>-137.47030695341766</v>
      </c>
      <c r="H7">
        <v>-133.76926261358085</v>
      </c>
    </row>
    <row r="8" spans="1:8" ht="16" customHeight="1" x14ac:dyDescent="0.35">
      <c r="A8" t="s">
        <v>7</v>
      </c>
      <c r="D8" s="1">
        <f t="shared" ref="D8:D66" si="0">(E8-E7)/E7*100</f>
        <v>148.08694386048185</v>
      </c>
      <c r="E8" s="2">
        <v>119.06229670207667</v>
      </c>
      <c r="F8">
        <v>165</v>
      </c>
      <c r="G8" s="3">
        <v>-191.74045976182003</v>
      </c>
      <c r="H8">
        <v>-184.80991146031846</v>
      </c>
    </row>
    <row r="9" spans="1:8" ht="16" customHeight="1" x14ac:dyDescent="0.35">
      <c r="A9" t="s">
        <v>8</v>
      </c>
      <c r="D9" s="1">
        <f t="shared" si="0"/>
        <v>10.824653940571444</v>
      </c>
      <c r="E9" s="2">
        <v>131.95037829377287</v>
      </c>
      <c r="F9">
        <v>153.63999999999999</v>
      </c>
      <c r="G9" s="3">
        <v>-128.51742406585186</v>
      </c>
      <c r="H9">
        <v>-122.5123055464792</v>
      </c>
    </row>
    <row r="10" spans="1:8" ht="16" customHeight="1" x14ac:dyDescent="0.35">
      <c r="A10" t="s">
        <v>9</v>
      </c>
      <c r="B10">
        <v>859842.08</v>
      </c>
      <c r="D10" s="1">
        <f t="shared" si="0"/>
        <v>-36.000599538972324</v>
      </c>
      <c r="E10" s="2">
        <v>84.447451014072641</v>
      </c>
      <c r="F10">
        <v>117.57</v>
      </c>
      <c r="G10" s="3">
        <v>-68.558075656208018</v>
      </c>
      <c r="H10">
        <v>-55.279086058879585</v>
      </c>
    </row>
    <row r="11" spans="1:8" ht="16" customHeight="1" x14ac:dyDescent="0.35">
      <c r="A11" t="s">
        <v>10</v>
      </c>
      <c r="B11">
        <v>1096804.8999999999</v>
      </c>
      <c r="D11" s="1">
        <f t="shared" si="0"/>
        <v>7.5240030449683095</v>
      </c>
      <c r="E11" s="2">
        <v>90.801279799769588</v>
      </c>
      <c r="F11">
        <v>115.34</v>
      </c>
      <c r="G11" s="3">
        <v>-190.48413447457551</v>
      </c>
      <c r="H11">
        <v>-184.48381796010457</v>
      </c>
    </row>
    <row r="12" spans="1:8" ht="16" customHeight="1" x14ac:dyDescent="0.35">
      <c r="A12" t="s">
        <v>11</v>
      </c>
      <c r="B12">
        <v>1222103.8400000001</v>
      </c>
      <c r="D12" s="1">
        <f t="shared" si="0"/>
        <v>22.576602430827393</v>
      </c>
      <c r="E12" s="2">
        <v>111.30112374226675</v>
      </c>
      <c r="F12">
        <v>128.25</v>
      </c>
      <c r="G12" s="3">
        <v>-39.416601122761108</v>
      </c>
      <c r="H12">
        <v>-33.08553643276111</v>
      </c>
    </row>
    <row r="13" spans="1:8" ht="16" customHeight="1" x14ac:dyDescent="0.35">
      <c r="A13" t="s">
        <v>12</v>
      </c>
      <c r="B13">
        <v>1106991.21</v>
      </c>
      <c r="D13" s="1">
        <f t="shared" si="0"/>
        <v>-12.097167478533306</v>
      </c>
      <c r="E13" s="2">
        <v>97.836840397675147</v>
      </c>
      <c r="F13">
        <v>131.36000000000001</v>
      </c>
      <c r="G13" s="3">
        <v>-312.93209926959298</v>
      </c>
      <c r="H13">
        <v>-296.503221579593</v>
      </c>
    </row>
    <row r="14" spans="1:8" ht="16" customHeight="1" x14ac:dyDescent="0.35">
      <c r="A14" t="s">
        <v>13</v>
      </c>
      <c r="B14">
        <v>935283.68</v>
      </c>
      <c r="D14" s="1">
        <f t="shared" si="0"/>
        <v>-42.042871943666</v>
      </c>
      <c r="E14" s="2">
        <v>56.703422875551702</v>
      </c>
      <c r="F14">
        <v>108.74</v>
      </c>
      <c r="G14" s="3">
        <v>-14.238004912670249</v>
      </c>
      <c r="H14">
        <v>-15.12977216831537</v>
      </c>
    </row>
    <row r="15" spans="1:8" ht="16" customHeight="1" x14ac:dyDescent="0.35">
      <c r="A15" t="s">
        <v>14</v>
      </c>
      <c r="B15">
        <v>1202081.01</v>
      </c>
      <c r="D15" s="1">
        <f t="shared" si="0"/>
        <v>-47.31811592263189</v>
      </c>
      <c r="E15" s="2">
        <v>29.87243150719798</v>
      </c>
      <c r="F15">
        <v>124.25</v>
      </c>
      <c r="G15" s="3">
        <v>-142.24273075366466</v>
      </c>
      <c r="H15">
        <v>-139.76568835154728</v>
      </c>
    </row>
    <row r="16" spans="1:8" ht="16" customHeight="1" x14ac:dyDescent="0.35">
      <c r="A16" t="s">
        <v>15</v>
      </c>
      <c r="B16">
        <v>1304602.77</v>
      </c>
      <c r="D16" s="1">
        <f t="shared" si="0"/>
        <v>208.86436960486162</v>
      </c>
      <c r="E16" s="2">
        <v>92.265297260351105</v>
      </c>
      <c r="F16">
        <v>132.84</v>
      </c>
      <c r="G16" s="3">
        <v>34.197012340182368</v>
      </c>
      <c r="H16">
        <v>32.52444115591161</v>
      </c>
    </row>
    <row r="17" spans="1:8" ht="16" customHeight="1" x14ac:dyDescent="0.35">
      <c r="A17" t="s">
        <v>16</v>
      </c>
      <c r="B17">
        <v>1191941.1299999999</v>
      </c>
      <c r="D17" s="1">
        <f t="shared" si="0"/>
        <v>-45.568211695435423</v>
      </c>
      <c r="E17" s="2">
        <v>50.221651283331532</v>
      </c>
      <c r="F17">
        <v>150.53</v>
      </c>
      <c r="G17" s="3">
        <v>-170.83858466028926</v>
      </c>
      <c r="H17">
        <v>-157.7957883292994</v>
      </c>
    </row>
    <row r="18" spans="1:8" ht="16" customHeight="1" x14ac:dyDescent="0.35">
      <c r="A18" t="s">
        <v>17</v>
      </c>
      <c r="B18">
        <v>1006826.11</v>
      </c>
      <c r="D18" s="1">
        <f t="shared" si="0"/>
        <v>20.11564641572879</v>
      </c>
      <c r="E18" s="2">
        <v>60.324061079626823</v>
      </c>
      <c r="F18">
        <v>125.82</v>
      </c>
      <c r="G18" s="3">
        <v>7.4596504686884373</v>
      </c>
      <c r="H18">
        <v>18.022210156374427</v>
      </c>
    </row>
    <row r="19" spans="1:8" ht="16" customHeight="1" x14ac:dyDescent="0.35">
      <c r="A19" t="s">
        <v>18</v>
      </c>
      <c r="B19">
        <v>1308587.97</v>
      </c>
      <c r="D19" s="1">
        <f t="shared" si="0"/>
        <v>47.081575060887701</v>
      </c>
      <c r="E19" s="2">
        <v>88.72557917660707</v>
      </c>
      <c r="F19">
        <v>148.58000000000001</v>
      </c>
      <c r="G19" s="3">
        <v>-112.2273666228923</v>
      </c>
      <c r="H19">
        <v>-109.10458114684876</v>
      </c>
    </row>
    <row r="20" spans="1:8" ht="16" customHeight="1" x14ac:dyDescent="0.35">
      <c r="A20" t="s">
        <v>19</v>
      </c>
      <c r="B20">
        <v>1435537.87</v>
      </c>
      <c r="D20" s="1">
        <f t="shared" si="0"/>
        <v>-20.479289110421341</v>
      </c>
      <c r="E20" s="2">
        <v>70.555211302133912</v>
      </c>
      <c r="F20">
        <v>145.46</v>
      </c>
      <c r="G20" s="3">
        <v>91.015198823746346</v>
      </c>
      <c r="H20">
        <v>100.6922592894682</v>
      </c>
    </row>
    <row r="21" spans="1:8" ht="16" customHeight="1" x14ac:dyDescent="0.35">
      <c r="A21" t="s">
        <v>20</v>
      </c>
      <c r="B21">
        <v>1302540.22</v>
      </c>
      <c r="D21" s="1">
        <f t="shared" si="0"/>
        <v>-14.081584237056424</v>
      </c>
      <c r="E21" s="2">
        <v>60.619919788990771</v>
      </c>
      <c r="F21">
        <v>153.53</v>
      </c>
      <c r="G21" s="3">
        <v>-165.27912154384831</v>
      </c>
      <c r="H21">
        <v>-153.92617042866965</v>
      </c>
    </row>
    <row r="22" spans="1:8" ht="16" customHeight="1" x14ac:dyDescent="0.35">
      <c r="A22" t="s">
        <v>21</v>
      </c>
      <c r="B22">
        <v>1057315.1599999999</v>
      </c>
      <c r="D22" s="1">
        <f t="shared" si="0"/>
        <v>-29.511214409982944</v>
      </c>
      <c r="E22" s="2">
        <v>42.730245284902026</v>
      </c>
      <c r="F22">
        <v>134.16</v>
      </c>
      <c r="G22" s="3">
        <v>-41.276228790952189</v>
      </c>
      <c r="H22">
        <v>-37.832857339477279</v>
      </c>
    </row>
    <row r="23" spans="1:8" ht="16" customHeight="1" x14ac:dyDescent="0.35">
      <c r="A23" t="s">
        <v>22</v>
      </c>
      <c r="B23">
        <v>1345554.73</v>
      </c>
      <c r="D23" s="1">
        <f t="shared" si="0"/>
        <v>-108.45934468709486</v>
      </c>
      <c r="E23" s="2">
        <v>-3.6146987342909611</v>
      </c>
      <c r="F23">
        <v>156.75</v>
      </c>
      <c r="G23" s="3">
        <v>-178.08871495152016</v>
      </c>
      <c r="H23">
        <v>-180.65114578516256</v>
      </c>
    </row>
    <row r="24" spans="1:8" ht="16" customHeight="1" x14ac:dyDescent="0.35">
      <c r="A24" t="s">
        <v>23</v>
      </c>
      <c r="B24">
        <v>1477673.37</v>
      </c>
      <c r="D24" s="1">
        <f t="shared" si="0"/>
        <v>-2385.6743952412739</v>
      </c>
      <c r="E24" s="2">
        <v>82.620243434798908</v>
      </c>
      <c r="F24">
        <v>157.79</v>
      </c>
      <c r="G24" s="3">
        <v>74.188948507367684</v>
      </c>
      <c r="H24">
        <v>78.774823846516</v>
      </c>
    </row>
    <row r="25" spans="1:8" ht="16" customHeight="1" x14ac:dyDescent="0.35">
      <c r="A25" t="s">
        <v>24</v>
      </c>
      <c r="B25">
        <v>1360619.33</v>
      </c>
      <c r="D25" s="1">
        <f t="shared" si="0"/>
        <v>-64.359892649975549</v>
      </c>
      <c r="E25" s="2">
        <v>29.445943453013861</v>
      </c>
      <c r="F25">
        <v>173.58</v>
      </c>
      <c r="G25" s="3">
        <v>-239.43519491293091</v>
      </c>
      <c r="H25">
        <v>-223.6622885501971</v>
      </c>
    </row>
    <row r="26" spans="1:8" ht="16" customHeight="1" x14ac:dyDescent="0.35">
      <c r="A26" t="s">
        <v>25</v>
      </c>
      <c r="B26">
        <v>1167794.78</v>
      </c>
      <c r="D26" s="1">
        <f t="shared" si="0"/>
        <v>178.62908754702221</v>
      </c>
      <c r="E26" s="2">
        <v>82.044963562744641</v>
      </c>
      <c r="F26">
        <v>147.13999999999999</v>
      </c>
      <c r="G26" s="3">
        <v>-58.605296925971317</v>
      </c>
      <c r="H26">
        <v>-57.551609722767779</v>
      </c>
    </row>
    <row r="27" spans="1:8" ht="16" customHeight="1" x14ac:dyDescent="0.35">
      <c r="A27" t="s">
        <v>26</v>
      </c>
      <c r="B27">
        <v>1432938.41</v>
      </c>
      <c r="D27" s="1">
        <f t="shared" si="0"/>
        <v>-2.9078968940003111</v>
      </c>
      <c r="E27" s="2">
        <v>79.659180615619903</v>
      </c>
      <c r="F27">
        <v>169.76</v>
      </c>
      <c r="G27" s="3">
        <v>-240.55114130564908</v>
      </c>
      <c r="H27">
        <v>-241.1918834819337</v>
      </c>
    </row>
    <row r="28" spans="1:8" ht="16" customHeight="1" x14ac:dyDescent="0.35">
      <c r="A28" t="s">
        <v>27</v>
      </c>
      <c r="B28">
        <v>1574662.45</v>
      </c>
      <c r="D28" s="1">
        <f t="shared" si="0"/>
        <v>34.033281323355624</v>
      </c>
      <c r="E28" s="2">
        <v>106.7698136544138</v>
      </c>
      <c r="F28">
        <v>176.87</v>
      </c>
      <c r="G28" s="3">
        <v>88.884946940329741</v>
      </c>
      <c r="H28">
        <v>90.243473648963288</v>
      </c>
    </row>
    <row r="29" spans="1:8" ht="16" customHeight="1" x14ac:dyDescent="0.35">
      <c r="A29" t="s">
        <v>28</v>
      </c>
      <c r="B29">
        <v>1464744.48</v>
      </c>
      <c r="D29" s="1">
        <f t="shared" si="0"/>
        <v>-62.185808005555018</v>
      </c>
      <c r="E29" s="2">
        <v>40.374142327391162</v>
      </c>
      <c r="F29">
        <v>171.72</v>
      </c>
      <c r="G29" s="3">
        <v>-286.98354181273714</v>
      </c>
      <c r="H29">
        <v>-262.91369823672062</v>
      </c>
    </row>
    <row r="30" spans="1:8" ht="16" customHeight="1" x14ac:dyDescent="0.35">
      <c r="A30" t="s">
        <v>29</v>
      </c>
      <c r="B30">
        <v>1246826.81</v>
      </c>
      <c r="D30" s="1">
        <f t="shared" si="0"/>
        <v>38.861868758020343</v>
      </c>
      <c r="E30" s="2">
        <v>56.064288530838255</v>
      </c>
      <c r="F30">
        <v>144.27000000000001</v>
      </c>
      <c r="G30" s="3">
        <v>-134.84851273377603</v>
      </c>
      <c r="H30">
        <v>-138.98325058630979</v>
      </c>
    </row>
    <row r="31" spans="1:8" ht="16" customHeight="1" x14ac:dyDescent="0.35">
      <c r="A31" t="s">
        <v>30</v>
      </c>
      <c r="B31">
        <v>1531934.06</v>
      </c>
      <c r="D31" s="1">
        <f t="shared" si="0"/>
        <v>-47.23041147131871</v>
      </c>
      <c r="E31" s="2">
        <v>29.584894369256002</v>
      </c>
      <c r="F31">
        <v>177.55</v>
      </c>
      <c r="G31" s="3">
        <v>-247.42768827942371</v>
      </c>
      <c r="H31">
        <v>-249.0249217845589</v>
      </c>
    </row>
    <row r="32" spans="1:8" ht="16" customHeight="1" x14ac:dyDescent="0.35">
      <c r="A32" t="s">
        <v>31</v>
      </c>
      <c r="B32">
        <v>1668881.02</v>
      </c>
      <c r="D32" s="1">
        <f t="shared" si="0"/>
        <v>231.19102618719208</v>
      </c>
      <c r="E32" s="2">
        <v>97.982515257935759</v>
      </c>
      <c r="F32">
        <v>182.7</v>
      </c>
      <c r="G32" s="3">
        <v>125.89531464881748</v>
      </c>
      <c r="H32">
        <v>123.58464413048659</v>
      </c>
    </row>
    <row r="33" spans="1:8" ht="16" customHeight="1" x14ac:dyDescent="0.35">
      <c r="A33" t="s">
        <v>32</v>
      </c>
      <c r="B33">
        <v>1542945.65</v>
      </c>
      <c r="D33" s="1">
        <f t="shared" si="0"/>
        <v>-62.933316524488802</v>
      </c>
      <c r="E33" s="2">
        <v>36.318868792003506</v>
      </c>
      <c r="F33">
        <v>186.43</v>
      </c>
      <c r="G33" s="3">
        <v>-225.03796310574785</v>
      </c>
      <c r="H33">
        <v>-202.79260235215281</v>
      </c>
    </row>
    <row r="34" spans="1:8" ht="16" customHeight="1" x14ac:dyDescent="0.35">
      <c r="A34" t="s">
        <v>33</v>
      </c>
      <c r="B34">
        <v>1317938.2</v>
      </c>
      <c r="D34" s="1">
        <f t="shared" si="0"/>
        <v>80.2152825299179</v>
      </c>
      <c r="E34" s="2">
        <v>65.4521520051793</v>
      </c>
      <c r="F34">
        <v>163.38999999999999</v>
      </c>
      <c r="G34" s="3">
        <v>-141.12859562007358</v>
      </c>
      <c r="H34">
        <v>-145.05360028007715</v>
      </c>
    </row>
    <row r="35" spans="1:8" ht="16" customHeight="1" x14ac:dyDescent="0.35">
      <c r="A35" t="s">
        <v>34</v>
      </c>
      <c r="B35">
        <v>1630381.97</v>
      </c>
      <c r="D35" s="1">
        <f t="shared" si="0"/>
        <v>28.174932082005068</v>
      </c>
      <c r="E35" s="2">
        <v>83.893251378849286</v>
      </c>
      <c r="F35">
        <v>196.54</v>
      </c>
      <c r="G35" s="3">
        <v>-227.59151023836199</v>
      </c>
      <c r="H35">
        <v>-229.82094956937084</v>
      </c>
    </row>
    <row r="36" spans="1:8" ht="16" customHeight="1" x14ac:dyDescent="0.35">
      <c r="A36" t="s">
        <v>35</v>
      </c>
      <c r="B36">
        <v>1769411.1</v>
      </c>
      <c r="D36" s="1">
        <f t="shared" si="0"/>
        <v>-23.974461431558865</v>
      </c>
      <c r="E36" s="2">
        <v>63.780296183346337</v>
      </c>
      <c r="F36">
        <v>194.07</v>
      </c>
      <c r="G36" s="3">
        <v>209.4572536992963</v>
      </c>
      <c r="H36">
        <v>205.50639246703489</v>
      </c>
    </row>
    <row r="37" spans="1:8" ht="16" customHeight="1" x14ac:dyDescent="0.35">
      <c r="A37" t="s">
        <v>36</v>
      </c>
      <c r="B37">
        <v>1610878.96</v>
      </c>
      <c r="D37" s="1">
        <f t="shared" si="0"/>
        <v>-33.731315525779934</v>
      </c>
      <c r="E37" s="2">
        <v>42.266363234464805</v>
      </c>
      <c r="F37">
        <v>205.19</v>
      </c>
      <c r="G37" s="3">
        <v>-189.30028732265259</v>
      </c>
      <c r="H37">
        <v>-191.03670917424293</v>
      </c>
    </row>
    <row r="38" spans="1:8" ht="16" customHeight="1" x14ac:dyDescent="0.35">
      <c r="A38" t="s">
        <v>37</v>
      </c>
      <c r="B38">
        <v>1386156.64</v>
      </c>
      <c r="D38" s="1">
        <f t="shared" si="0"/>
        <v>-29.016557289334834</v>
      </c>
      <c r="E38" s="2">
        <v>30.00211973241797</v>
      </c>
      <c r="F38">
        <v>170.45</v>
      </c>
      <c r="G38" s="3">
        <v>-104.24256556898737</v>
      </c>
      <c r="H38">
        <v>-111.39975411887845</v>
      </c>
    </row>
    <row r="39" spans="1:8" ht="16" customHeight="1" x14ac:dyDescent="0.35">
      <c r="A39" t="s">
        <v>38</v>
      </c>
      <c r="B39">
        <v>1695805.61</v>
      </c>
      <c r="D39" s="1">
        <f t="shared" si="0"/>
        <v>109.44312491332462</v>
      </c>
      <c r="E39" s="2">
        <v>62.837377107813388</v>
      </c>
      <c r="F39">
        <v>214.18</v>
      </c>
      <c r="G39" s="3">
        <v>-243.29102025338187</v>
      </c>
      <c r="H39">
        <v>-245.53942336541832</v>
      </c>
    </row>
    <row r="40" spans="1:8" ht="16" customHeight="1" x14ac:dyDescent="0.35">
      <c r="A40" t="s">
        <v>39</v>
      </c>
      <c r="B40">
        <v>1810905.37</v>
      </c>
      <c r="D40" s="1">
        <f t="shared" si="0"/>
        <v>59.208023817718605</v>
      </c>
      <c r="E40" s="2">
        <v>100.04214631223719</v>
      </c>
      <c r="F40">
        <v>203.4</v>
      </c>
      <c r="G40" s="3">
        <v>73.878338026386331</v>
      </c>
      <c r="H40">
        <v>72.18886721478124</v>
      </c>
    </row>
    <row r="41" spans="1:8" ht="16" customHeight="1" x14ac:dyDescent="0.35">
      <c r="A41" t="s">
        <v>40</v>
      </c>
      <c r="B41">
        <v>1680129.4</v>
      </c>
      <c r="D41" s="1">
        <f t="shared" si="0"/>
        <v>-20.785388363100886</v>
      </c>
      <c r="E41" s="2">
        <v>79.247997674457082</v>
      </c>
      <c r="F41">
        <v>212.54</v>
      </c>
      <c r="G41" s="3">
        <v>-235.14386286884547</v>
      </c>
      <c r="H41">
        <v>-235.12894968463399</v>
      </c>
    </row>
    <row r="42" spans="1:8" ht="16" customHeight="1" x14ac:dyDescent="0.35">
      <c r="A42" t="s">
        <v>41</v>
      </c>
      <c r="B42">
        <v>1459049.89</v>
      </c>
      <c r="D42" s="1">
        <f t="shared" si="0"/>
        <v>-11.725563343093231</v>
      </c>
      <c r="E42" s="2">
        <v>69.955723509005566</v>
      </c>
      <c r="F42">
        <v>184.66</v>
      </c>
      <c r="G42" s="3">
        <v>-81.720601433726074</v>
      </c>
      <c r="H42">
        <v>-85.81087457165799</v>
      </c>
    </row>
    <row r="43" spans="1:8" ht="16" customHeight="1" x14ac:dyDescent="0.35">
      <c r="A43" t="s">
        <v>42</v>
      </c>
      <c r="B43">
        <v>1788287.37</v>
      </c>
      <c r="D43" s="1">
        <f t="shared" si="0"/>
        <v>-41.646200271705752</v>
      </c>
      <c r="E43" s="2">
        <v>40.821822794924365</v>
      </c>
      <c r="F43">
        <v>220.71</v>
      </c>
      <c r="G43" s="3">
        <v>-204.30784661911991</v>
      </c>
      <c r="H43">
        <v>-206.51373293790934</v>
      </c>
    </row>
    <row r="44" spans="1:8" ht="16" customHeight="1" x14ac:dyDescent="0.35">
      <c r="A44" t="s">
        <v>43</v>
      </c>
      <c r="B44">
        <v>1941442.02</v>
      </c>
      <c r="C44" s="2">
        <v>2.5601119422153573</v>
      </c>
      <c r="D44" s="1">
        <f t="shared" si="0"/>
        <v>158.75293641401143</v>
      </c>
      <c r="E44" s="2">
        <v>105.62766517959106</v>
      </c>
      <c r="F44">
        <v>222.02</v>
      </c>
      <c r="G44" s="3">
        <v>151.90688301357443</v>
      </c>
      <c r="H44">
        <v>148.13099450120001</v>
      </c>
    </row>
    <row r="45" spans="1:8" ht="16" customHeight="1" x14ac:dyDescent="0.35">
      <c r="A45" t="s">
        <v>44</v>
      </c>
      <c r="B45">
        <v>1800093.88</v>
      </c>
      <c r="C45" s="2">
        <v>1.6690641553013232</v>
      </c>
      <c r="D45" s="1">
        <f t="shared" si="0"/>
        <v>-63.824101514091105</v>
      </c>
      <c r="E45" s="2">
        <v>38.21175692840459</v>
      </c>
      <c r="F45">
        <v>224.14</v>
      </c>
      <c r="G45" s="3">
        <v>-265.3296665157236</v>
      </c>
      <c r="H45">
        <v>-264.12072831874826</v>
      </c>
    </row>
    <row r="46" spans="1:8" ht="16" customHeight="1" x14ac:dyDescent="0.35">
      <c r="A46" t="s">
        <v>45</v>
      </c>
      <c r="B46">
        <v>1477838.1</v>
      </c>
      <c r="C46" s="2">
        <v>1.0749137598343168</v>
      </c>
      <c r="D46" s="1">
        <f t="shared" si="0"/>
        <v>173.08287869645142</v>
      </c>
      <c r="E46" s="2">
        <v>104.34976582057797</v>
      </c>
      <c r="F46">
        <v>187.33</v>
      </c>
      <c r="G46" s="3">
        <v>-71.603437909507733</v>
      </c>
      <c r="H46">
        <v>-68.544046459930854</v>
      </c>
    </row>
    <row r="47" spans="1:8" ht="16" customHeight="1" x14ac:dyDescent="0.35">
      <c r="A47" t="s">
        <v>46</v>
      </c>
      <c r="B47">
        <v>1586737.89</v>
      </c>
      <c r="C47" s="2">
        <v>0.17654156253817158</v>
      </c>
      <c r="D47" s="1">
        <f t="shared" si="0"/>
        <v>-33.126380051215811</v>
      </c>
      <c r="E47" s="2">
        <v>69.78246581229962</v>
      </c>
      <c r="F47">
        <v>247.2</v>
      </c>
      <c r="G47" s="3">
        <v>-146.0834483665254</v>
      </c>
      <c r="H47">
        <v>-143.62333591506831</v>
      </c>
    </row>
    <row r="48" spans="1:8" ht="16" customHeight="1" x14ac:dyDescent="0.35">
      <c r="A48" t="s">
        <v>47</v>
      </c>
      <c r="B48">
        <v>1802790.2</v>
      </c>
      <c r="C48" s="2">
        <v>-0.36297575481060562</v>
      </c>
      <c r="D48" s="1">
        <f t="shared" si="0"/>
        <v>14.863558372461009</v>
      </c>
      <c r="E48" s="2">
        <v>80.15462335205342</v>
      </c>
      <c r="F48">
        <v>262.26</v>
      </c>
      <c r="G48" s="3">
        <v>-97.909802108858941</v>
      </c>
      <c r="H48">
        <v>-97.074167777830226</v>
      </c>
    </row>
    <row r="49" spans="1:8" ht="16" customHeight="1" x14ac:dyDescent="0.35">
      <c r="A49" t="s">
        <v>48</v>
      </c>
      <c r="B49">
        <v>1811986.3</v>
      </c>
      <c r="C49" s="2">
        <v>-0.12635199173363296</v>
      </c>
      <c r="D49" s="1">
        <f t="shared" si="0"/>
        <v>14.00766562775263</v>
      </c>
      <c r="E49" s="2">
        <v>91.382414976393591</v>
      </c>
      <c r="F49">
        <v>283.2</v>
      </c>
      <c r="G49" s="3">
        <v>-156.59840619143546</v>
      </c>
      <c r="H49">
        <v>-145.49620316294886</v>
      </c>
    </row>
    <row r="50" spans="1:8" ht="16" customHeight="1" x14ac:dyDescent="0.35">
      <c r="A50" t="s">
        <v>49</v>
      </c>
      <c r="B50">
        <v>1570235.43</v>
      </c>
      <c r="C50" s="2">
        <v>0.58103323085295722</v>
      </c>
      <c r="D50" s="1">
        <f t="shared" si="0"/>
        <v>13.707346915259656</v>
      </c>
      <c r="E50" s="2">
        <v>103.90851961675006</v>
      </c>
      <c r="F50">
        <v>242.93</v>
      </c>
      <c r="G50" s="3">
        <v>-159.13998315892331</v>
      </c>
      <c r="H50">
        <v>-153.6631919589081</v>
      </c>
    </row>
    <row r="51" spans="1:8" ht="16" customHeight="1" x14ac:dyDescent="0.35">
      <c r="A51" t="s">
        <v>50</v>
      </c>
      <c r="B51">
        <v>1854499.63</v>
      </c>
      <c r="C51" s="2">
        <v>2.0733383093257203</v>
      </c>
      <c r="D51" s="1">
        <f t="shared" si="0"/>
        <v>16.472292652795282</v>
      </c>
      <c r="E51" s="2">
        <v>121.02463505920832</v>
      </c>
      <c r="F51">
        <v>311.55</v>
      </c>
      <c r="G51" s="3">
        <v>-308.71405382337076</v>
      </c>
      <c r="H51">
        <v>-302.92992719857392</v>
      </c>
    </row>
    <row r="52" spans="1:8" ht="16" customHeight="1" x14ac:dyDescent="0.35">
      <c r="A52" t="s">
        <v>51</v>
      </c>
      <c r="B52">
        <v>2092451.87</v>
      </c>
      <c r="C52" s="2">
        <v>4.3602262667399145</v>
      </c>
      <c r="D52" s="1">
        <f t="shared" si="0"/>
        <v>40.155730845166396</v>
      </c>
      <c r="E52" s="2">
        <v>169.62296176992891</v>
      </c>
      <c r="F52">
        <v>307.3</v>
      </c>
      <c r="G52" s="3">
        <v>144.13445975049365</v>
      </c>
      <c r="H52">
        <v>188.2160175109336</v>
      </c>
    </row>
    <row r="53" spans="1:8" ht="16" customHeight="1" x14ac:dyDescent="0.35">
      <c r="A53" t="s">
        <v>52</v>
      </c>
      <c r="B53">
        <v>1982065.89</v>
      </c>
      <c r="C53" s="2">
        <v>6.4386006971469003</v>
      </c>
      <c r="D53" s="1">
        <f t="shared" si="0"/>
        <v>-84.613027942114144</v>
      </c>
      <c r="E53" s="2">
        <v>26.099837731297384</v>
      </c>
      <c r="F53">
        <v>291.58999999999997</v>
      </c>
      <c r="G53" s="3">
        <v>-371.0064755099894</v>
      </c>
      <c r="H53">
        <v>-364.13461922431884</v>
      </c>
    </row>
    <row r="54" spans="1:8" ht="16" customHeight="1" x14ac:dyDescent="0.35">
      <c r="A54" t="s">
        <v>53</v>
      </c>
      <c r="B54">
        <v>1705095.19</v>
      </c>
      <c r="C54" s="2">
        <v>8.2299694089934121</v>
      </c>
      <c r="D54" s="1">
        <f t="shared" si="0"/>
        <v>346.07124679732641</v>
      </c>
      <c r="E54" s="2">
        <v>116.42387158007728</v>
      </c>
      <c r="F54">
        <v>241.28</v>
      </c>
      <c r="G54" s="3">
        <v>-307.97732541190317</v>
      </c>
      <c r="H54">
        <v>-301.10315757165404</v>
      </c>
    </row>
    <row r="55" spans="1:8" ht="16" customHeight="1" x14ac:dyDescent="0.35">
      <c r="A55" t="s">
        <v>54</v>
      </c>
      <c r="B55">
        <v>1989705.09</v>
      </c>
      <c r="C55" s="2">
        <v>12.593898985676811</v>
      </c>
      <c r="D55" s="1">
        <f t="shared" si="0"/>
        <v>79.721988780112611</v>
      </c>
      <c r="E55" s="2">
        <v>209.23929741851919</v>
      </c>
      <c r="F55">
        <v>314.11</v>
      </c>
      <c r="G55" s="3">
        <v>-328.70710569162941</v>
      </c>
      <c r="H55">
        <v>-320.05063696626019</v>
      </c>
    </row>
    <row r="56" spans="1:8" ht="16" customHeight="1" x14ac:dyDescent="0.35">
      <c r="A56" t="s">
        <v>55</v>
      </c>
      <c r="B56">
        <v>2330179.4</v>
      </c>
      <c r="C56" s="2">
        <v>13.312535022316837</v>
      </c>
      <c r="D56" s="1">
        <f t="shared" si="0"/>
        <v>37.079082635165769</v>
      </c>
      <c r="E56" s="2">
        <v>286.82330941357219</v>
      </c>
      <c r="F56">
        <v>349.12</v>
      </c>
      <c r="G56" s="3">
        <v>121.87814248935399</v>
      </c>
      <c r="H56">
        <v>134.22596487488801</v>
      </c>
    </row>
    <row r="57" spans="1:8" ht="16" customHeight="1" x14ac:dyDescent="0.35">
      <c r="A57" t="s">
        <v>56</v>
      </c>
      <c r="B57">
        <v>2273358.4500000002</v>
      </c>
      <c r="C57" s="2">
        <v>12.131572352284801</v>
      </c>
      <c r="D57" s="1">
        <f t="shared" si="0"/>
        <v>-58.325584357318562</v>
      </c>
      <c r="E57" s="2">
        <v>119.53193812510631</v>
      </c>
      <c r="F57">
        <v>318.29000000000002</v>
      </c>
      <c r="G57" s="3">
        <v>-402.34195736051146</v>
      </c>
      <c r="H57">
        <v>-391.75359370372519</v>
      </c>
    </row>
    <row r="58" spans="1:8" ht="16" customHeight="1" x14ac:dyDescent="0.35">
      <c r="A58" t="s">
        <v>57</v>
      </c>
      <c r="B58">
        <v>1867308.36</v>
      </c>
      <c r="C58" s="2">
        <v>9.8517728468733026</v>
      </c>
      <c r="D58" s="1">
        <f t="shared" si="0"/>
        <v>53.336296700462896</v>
      </c>
      <c r="E58" s="2">
        <v>183.28584729532673</v>
      </c>
      <c r="F58">
        <v>271.26</v>
      </c>
      <c r="G58" s="3">
        <v>-217.81033435739431</v>
      </c>
      <c r="H58">
        <v>-179.29922891061912</v>
      </c>
    </row>
    <row r="59" spans="1:8" ht="16" customHeight="1" x14ac:dyDescent="0.35">
      <c r="A59" t="s">
        <v>58</v>
      </c>
      <c r="B59">
        <v>2196559.2200000002</v>
      </c>
      <c r="C59" s="2">
        <v>4.2319958321391526</v>
      </c>
      <c r="D59" s="1">
        <f t="shared" si="0"/>
        <v>2.4650563641538019</v>
      </c>
      <c r="E59" s="2">
        <v>187.8039467386734</v>
      </c>
      <c r="F59">
        <v>356.2</v>
      </c>
      <c r="G59" s="3">
        <v>-320.1789881430123</v>
      </c>
      <c r="H59">
        <v>-312.27456824995033</v>
      </c>
    </row>
    <row r="60" spans="1:8" ht="16" customHeight="1" x14ac:dyDescent="0.35">
      <c r="A60" t="s">
        <v>59</v>
      </c>
      <c r="B60">
        <v>2623778.48</v>
      </c>
      <c r="C60" s="2">
        <v>3.2449281829410999</v>
      </c>
      <c r="D60" s="1">
        <f t="shared" si="0"/>
        <v>31.892460224035752</v>
      </c>
      <c r="E60" s="2">
        <v>247.69924575147411</v>
      </c>
      <c r="F60">
        <v>374.18</v>
      </c>
      <c r="G60" s="3">
        <v>221.04530924886092</v>
      </c>
      <c r="H60">
        <v>228.28752247099624</v>
      </c>
    </row>
    <row r="61" spans="1:8" ht="16" customHeight="1" x14ac:dyDescent="0.35">
      <c r="A61" t="s">
        <v>60</v>
      </c>
      <c r="B61">
        <v>2569984.11</v>
      </c>
      <c r="C61" s="2">
        <v>2.8054955606939509</v>
      </c>
      <c r="D61" s="1">
        <f t="shared" si="0"/>
        <v>-10.654880454887447</v>
      </c>
      <c r="E61" s="2">
        <v>221.30718722899667</v>
      </c>
      <c r="F61">
        <v>334.13</v>
      </c>
      <c r="G61" s="3">
        <v>-412.42594474214911</v>
      </c>
      <c r="H61">
        <v>-403.25294288984117</v>
      </c>
    </row>
    <row r="62" spans="1:8" ht="16" customHeight="1" x14ac:dyDescent="0.35">
      <c r="A62" t="s">
        <v>61</v>
      </c>
      <c r="B62">
        <v>2066787.22</v>
      </c>
      <c r="C62" s="2">
        <v>2.118280665785766</v>
      </c>
      <c r="D62" s="1">
        <f t="shared" si="0"/>
        <v>-2.7868281303501239</v>
      </c>
      <c r="E62" s="2">
        <v>215.13973628081237</v>
      </c>
      <c r="F62">
        <v>281.02</v>
      </c>
      <c r="G62" s="3">
        <v>-317.35656574709611</v>
      </c>
      <c r="H62">
        <v>-310.7389633688183</v>
      </c>
    </row>
    <row r="63" spans="1:8" ht="16" customHeight="1" x14ac:dyDescent="0.35">
      <c r="A63" t="s">
        <v>62</v>
      </c>
      <c r="B63">
        <v>2383574.59</v>
      </c>
      <c r="C63" s="2">
        <v>2.3934271249269066</v>
      </c>
      <c r="D63" s="1">
        <f t="shared" si="0"/>
        <v>-5.1916700581403612</v>
      </c>
      <c r="E63" s="2">
        <v>203.9703910091593</v>
      </c>
      <c r="F63">
        <v>349.04</v>
      </c>
      <c r="G63" s="3">
        <v>-358.71690283580529</v>
      </c>
      <c r="H63">
        <v>-351.45396369917347</v>
      </c>
    </row>
    <row r="64" spans="1:8" ht="16" customHeight="1" x14ac:dyDescent="0.35">
      <c r="A64" t="s">
        <v>63</v>
      </c>
      <c r="B64">
        <v>2862827.62</v>
      </c>
      <c r="C64" s="2">
        <v>1.2788397207906499</v>
      </c>
      <c r="D64" s="1">
        <f t="shared" si="0"/>
        <v>20.097161547824822</v>
      </c>
      <c r="E64" s="2">
        <v>244.96265</v>
      </c>
      <c r="F64">
        <v>380.74</v>
      </c>
      <c r="G64" s="3">
        <v>249.30160729359079</v>
      </c>
      <c r="H64">
        <v>256.4720847489512</v>
      </c>
    </row>
    <row r="65" spans="1:8" ht="16" customHeight="1" x14ac:dyDescent="0.35">
      <c r="A65" t="s">
        <v>64</v>
      </c>
      <c r="B65">
        <v>2809511.78</v>
      </c>
      <c r="C65" s="2">
        <v>0.72006686498604233</v>
      </c>
      <c r="D65" s="1">
        <f t="shared" si="0"/>
        <v>-25.143041866503051</v>
      </c>
      <c r="E65" s="2">
        <v>183.37158835320466</v>
      </c>
      <c r="F65">
        <v>344.2</v>
      </c>
      <c r="G65" s="3">
        <v>-487.98113077908278</v>
      </c>
      <c r="H65">
        <v>-477.43619326016551</v>
      </c>
    </row>
    <row r="66" spans="1:8" ht="16" customHeight="1" x14ac:dyDescent="0.35">
      <c r="A66" t="s">
        <v>65</v>
      </c>
      <c r="B66">
        <v>2182392.27</v>
      </c>
      <c r="C66" s="2">
        <v>2.0282511120825055</v>
      </c>
      <c r="D66" s="1">
        <f t="shared" si="0"/>
        <v>7.7707172134847804</v>
      </c>
      <c r="E66" s="2">
        <v>197.62087593400759</v>
      </c>
      <c r="F66">
        <v>291.27</v>
      </c>
      <c r="G66" s="3">
        <v>-347.60465261436559</v>
      </c>
      <c r="H66">
        <v>-339.20170769334982</v>
      </c>
    </row>
    <row r="67" spans="1:8" ht="16" customHeight="1" x14ac:dyDescent="0.35">
      <c r="A67" t="s">
        <v>66</v>
      </c>
      <c r="B67">
        <v>2537807.11</v>
      </c>
      <c r="C67" s="2">
        <v>3.6484083152244438</v>
      </c>
      <c r="D67" s="2"/>
      <c r="E67" s="2"/>
      <c r="F67">
        <v>363.42</v>
      </c>
    </row>
    <row r="68" spans="1:8" ht="16" customHeight="1" x14ac:dyDescent="0.35">
      <c r="A68" t="s">
        <v>67</v>
      </c>
      <c r="F68">
        <v>393.7</v>
      </c>
    </row>
    <row r="69" spans="1:8" ht="16" customHeight="1" x14ac:dyDescent="0.35">
      <c r="A69" t="s">
        <v>68</v>
      </c>
      <c r="F69">
        <v>365.3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711C-DA0C-41D5-ADB2-C1F18E5A172A}">
  <dimension ref="A1:I17"/>
  <sheetViews>
    <sheetView topLeftCell="C1" workbookViewId="0">
      <selection activeCell="I17" sqref="I17"/>
    </sheetView>
  </sheetViews>
  <sheetFormatPr defaultRowHeight="15.5" x14ac:dyDescent="0.35"/>
  <cols>
    <col min="2" max="2" width="18.6640625" bestFit="1" customWidth="1"/>
    <col min="3" max="3" width="11.5" bestFit="1" customWidth="1"/>
    <col min="5" max="5" width="13.5" bestFit="1" customWidth="1"/>
    <col min="6" max="6" width="10.9140625" bestFit="1" customWidth="1"/>
    <col min="7" max="7" width="20.83203125" customWidth="1"/>
  </cols>
  <sheetData>
    <row r="1" spans="1:9" x14ac:dyDescent="0.35">
      <c r="A1" t="s">
        <v>69</v>
      </c>
      <c r="B1" t="s">
        <v>74</v>
      </c>
      <c r="C1" t="s">
        <v>75</v>
      </c>
      <c r="D1" t="s">
        <v>70</v>
      </c>
      <c r="E1" t="s">
        <v>77</v>
      </c>
      <c r="F1" t="s">
        <v>73</v>
      </c>
      <c r="G1" t="s">
        <v>76</v>
      </c>
      <c r="H1" t="s">
        <v>80</v>
      </c>
      <c r="I1" t="s">
        <v>79</v>
      </c>
    </row>
    <row r="2" spans="1:9" x14ac:dyDescent="0.35">
      <c r="A2">
        <v>2009</v>
      </c>
      <c r="B2" s="1">
        <v>5.0348541383989271</v>
      </c>
      <c r="C2" s="1">
        <v>-2.410264016612286</v>
      </c>
      <c r="D2" s="2">
        <v>287.4094806779998</v>
      </c>
      <c r="E2" s="1">
        <v>-22.291269867612478</v>
      </c>
      <c r="F2" s="1">
        <v>585.70000000000005</v>
      </c>
      <c r="G2" s="1">
        <v>-3.7817058746221552</v>
      </c>
      <c r="H2" s="3">
        <v>-374.1197935316934</v>
      </c>
      <c r="I2">
        <v>-273.44642375303749</v>
      </c>
    </row>
    <row r="3" spans="1:9" x14ac:dyDescent="0.35">
      <c r="A3">
        <v>2010</v>
      </c>
      <c r="B3" s="1">
        <v>4.9399509596139524</v>
      </c>
      <c r="C3" s="1">
        <v>3.4805076373584241</v>
      </c>
      <c r="D3" s="2">
        <v>368.51370329772141</v>
      </c>
      <c r="E3" s="1">
        <v>28.219049151891763</v>
      </c>
      <c r="F3" s="1">
        <v>584.33000000000004</v>
      </c>
      <c r="G3" s="1">
        <v>-0.23390814410107638</v>
      </c>
      <c r="H3" s="3">
        <v>-515.67634452632012</v>
      </c>
      <c r="I3">
        <v>-494.79515081660645</v>
      </c>
    </row>
    <row r="4" spans="1:9" x14ac:dyDescent="0.35">
      <c r="A4">
        <v>2011</v>
      </c>
      <c r="B4" s="1">
        <v>6.3198102289676115</v>
      </c>
      <c r="C4" s="1">
        <v>7.3364177131527004</v>
      </c>
      <c r="D4" s="2">
        <v>384.38669495378412</v>
      </c>
      <c r="E4" s="1">
        <v>4.3073002480016198</v>
      </c>
      <c r="F4" s="1">
        <v>492.52338907627859</v>
      </c>
      <c r="G4" s="1">
        <v>-15.711432054442087</v>
      </c>
      <c r="H4" s="3">
        <v>-611.39091052313756</v>
      </c>
      <c r="I4">
        <v>-569.35166203133826</v>
      </c>
    </row>
    <row r="5" spans="1:9" x14ac:dyDescent="0.35">
      <c r="A5">
        <v>2012</v>
      </c>
      <c r="B5" s="1">
        <v>1.7121959589054825</v>
      </c>
      <c r="C5" s="1">
        <v>2.4767378215653291</v>
      </c>
      <c r="D5" s="2">
        <v>229.06756537976048</v>
      </c>
      <c r="E5" s="1">
        <v>-40.406999413103541</v>
      </c>
      <c r="F5" s="1">
        <v>516.35550608673952</v>
      </c>
      <c r="G5" s="1">
        <v>4.8387787339719583</v>
      </c>
      <c r="H5" s="3">
        <v>-293.1223079864418</v>
      </c>
      <c r="I5">
        <v>-280.16680769325046</v>
      </c>
    </row>
    <row r="6" spans="1:9" x14ac:dyDescent="0.35">
      <c r="A6">
        <v>2013</v>
      </c>
      <c r="B6" s="1">
        <v>5.3407991190027815</v>
      </c>
      <c r="C6" s="1">
        <v>1.767324283548916</v>
      </c>
      <c r="D6" s="2">
        <v>280.22490097396854</v>
      </c>
      <c r="E6" s="1">
        <v>22.332858652160855</v>
      </c>
      <c r="F6" s="1">
        <v>573.39242344322633</v>
      </c>
      <c r="G6" s="1">
        <v>11.046055805378691</v>
      </c>
      <c r="H6" s="3">
        <v>-179.03163887430583</v>
      </c>
      <c r="I6">
        <v>-144.31628212967578</v>
      </c>
    </row>
    <row r="7" spans="1:9" x14ac:dyDescent="0.35">
      <c r="A7">
        <v>2014</v>
      </c>
      <c r="B7" s="1">
        <v>3.3488047843162292</v>
      </c>
      <c r="C7" s="1">
        <v>0.42895780832409208</v>
      </c>
      <c r="D7" s="2">
        <v>151.18173343842392</v>
      </c>
      <c r="E7" s="1">
        <v>-46.049857484839322</v>
      </c>
      <c r="F7" s="1">
        <v>622.27888018210251</v>
      </c>
      <c r="G7" s="1">
        <v>8.5258288634706041</v>
      </c>
      <c r="H7" s="3">
        <v>-384.61119014803558</v>
      </c>
      <c r="I7">
        <v>-363.37146782832099</v>
      </c>
    </row>
    <row r="8" spans="1:9" x14ac:dyDescent="0.35">
      <c r="A8">
        <v>2015</v>
      </c>
      <c r="B8" s="1">
        <v>5.916231283452106</v>
      </c>
      <c r="C8" s="1">
        <v>-0.53692939274065921</v>
      </c>
      <c r="D8" s="2">
        <v>308.84810016016962</v>
      </c>
      <c r="E8" s="1">
        <v>104.28929681902541</v>
      </c>
      <c r="F8" s="1">
        <v>665.48690670885071</v>
      </c>
      <c r="G8" s="1">
        <v>6.9435148617134308</v>
      </c>
      <c r="H8" s="3">
        <v>-497.2550331040278</v>
      </c>
      <c r="I8">
        <v>-471.41371779245884</v>
      </c>
    </row>
    <row r="9" spans="1:9" x14ac:dyDescent="0.35">
      <c r="A9">
        <v>2016</v>
      </c>
      <c r="B9" s="1">
        <v>5.5717750473163221</v>
      </c>
      <c r="C9" s="1">
        <v>0.27316943104546809</v>
      </c>
      <c r="D9" s="2">
        <v>219.95056695003353</v>
      </c>
      <c r="E9" s="1">
        <v>-28.783577805410992</v>
      </c>
      <c r="F9" s="1">
        <v>690.95705595885238</v>
      </c>
      <c r="G9" s="1">
        <v>3.8272953221519668</v>
      </c>
      <c r="H9" s="3">
        <v>-481.41884947013011</v>
      </c>
      <c r="I9">
        <v>-467.2161305925348</v>
      </c>
    </row>
    <row r="10" spans="1:9" x14ac:dyDescent="0.35">
      <c r="A10">
        <v>2017</v>
      </c>
      <c r="B10" s="1">
        <v>4.8256556529805437</v>
      </c>
      <c r="C10" s="1">
        <v>1.4882343059231931</v>
      </c>
      <c r="D10" s="2">
        <v>255.39206280183976</v>
      </c>
      <c r="E10" s="1">
        <v>16.113391451206176</v>
      </c>
      <c r="F10" s="1">
        <v>759.18854275040042</v>
      </c>
      <c r="G10" s="1">
        <v>9.8749243825091391</v>
      </c>
      <c r="H10" s="3">
        <v>-348.56313948179184</v>
      </c>
      <c r="I10">
        <v>-360.40486655665609</v>
      </c>
    </row>
    <row r="11" spans="1:9" x14ac:dyDescent="0.35">
      <c r="A11">
        <v>2018</v>
      </c>
      <c r="B11" s="1">
        <v>3.4066322705628522</v>
      </c>
      <c r="C11" s="1">
        <v>1.0537977365499149</v>
      </c>
      <c r="D11" s="2">
        <v>272.12964082692565</v>
      </c>
      <c r="E11" s="1">
        <v>6.5536797978223316</v>
      </c>
      <c r="F11" s="1">
        <v>800.56765026548976</v>
      </c>
      <c r="G11" s="1">
        <v>5.4504388811217375</v>
      </c>
      <c r="H11" s="3">
        <v>-508.79911066482833</v>
      </c>
      <c r="I11">
        <v>-519.87925995414957</v>
      </c>
    </row>
    <row r="12" spans="1:9" x14ac:dyDescent="0.35">
      <c r="A12">
        <v>2019</v>
      </c>
      <c r="B12" s="1">
        <v>4.7568005700783402</v>
      </c>
      <c r="C12" s="1">
        <v>2.6759920263989332</v>
      </c>
      <c r="D12" s="2">
        <v>254.61696841192557</v>
      </c>
      <c r="E12" s="1">
        <v>-6.4354152534740363</v>
      </c>
      <c r="F12" s="1">
        <v>851.53224643153692</v>
      </c>
      <c r="G12" s="1">
        <v>6.3660574030371979</v>
      </c>
      <c r="H12" s="3">
        <v>-399.45123155499499</v>
      </c>
      <c r="I12">
        <v>-408.31434132711547</v>
      </c>
    </row>
    <row r="13" spans="1:9" x14ac:dyDescent="0.35">
      <c r="A13">
        <v>2020</v>
      </c>
      <c r="B13" s="1">
        <v>-5.3402754782616597</v>
      </c>
      <c r="C13" s="1">
        <v>0.19822792299485439</v>
      </c>
      <c r="D13" s="2">
        <v>345.66926996132457</v>
      </c>
      <c r="E13" s="1">
        <v>35.760500220115873</v>
      </c>
      <c r="F13" s="1">
        <v>979.97910293260793</v>
      </c>
      <c r="G13" s="1">
        <v>15.084203450820006</v>
      </c>
      <c r="H13" s="3">
        <v>-472.19509457632756</v>
      </c>
      <c r="I13">
        <v>-454.73775331577826</v>
      </c>
    </row>
    <row r="14" spans="1:9" x14ac:dyDescent="0.35">
      <c r="A14">
        <v>2021</v>
      </c>
      <c r="B14" s="1">
        <v>10.745656081958302</v>
      </c>
      <c r="C14" s="1">
        <v>3.3536913920799711</v>
      </c>
      <c r="D14" s="2">
        <v>420.65595417718464</v>
      </c>
      <c r="E14" s="1">
        <v>21.69318789149235</v>
      </c>
      <c r="F14" s="1">
        <v>1153.3633830745998</v>
      </c>
      <c r="G14" s="1">
        <v>17.692650753790137</v>
      </c>
      <c r="H14" s="3">
        <v>-694.72605274178977</v>
      </c>
      <c r="I14">
        <v>-632.51172087086741</v>
      </c>
    </row>
    <row r="15" spans="1:9" x14ac:dyDescent="0.35">
      <c r="A15">
        <v>2022</v>
      </c>
      <c r="B15" s="1">
        <v>4.2784989582754349</v>
      </c>
      <c r="C15" s="1">
        <v>11.580510454201249</v>
      </c>
      <c r="D15" s="2">
        <v>732.01841653727502</v>
      </c>
      <c r="E15" s="1">
        <v>74.018318121545306</v>
      </c>
      <c r="F15" s="1">
        <v>1222.8068966768799</v>
      </c>
      <c r="G15" s="1">
        <v>6.0209570219890045</v>
      </c>
      <c r="H15" s="3">
        <v>-917.1482459746901</v>
      </c>
      <c r="I15">
        <v>-878.68142336675123</v>
      </c>
    </row>
    <row r="16" spans="1:9" x14ac:dyDescent="0.35">
      <c r="A16">
        <v>2023</v>
      </c>
      <c r="B16" s="1">
        <v>4.0676270143643762</v>
      </c>
      <c r="C16" s="1">
        <v>4.9443243879128262</v>
      </c>
      <c r="D16" s="2">
        <v>840.09622701447086</v>
      </c>
      <c r="E16" s="1">
        <v>14.764356747804912</v>
      </c>
      <c r="F16" s="1">
        <v>1335.7617347693517</v>
      </c>
      <c r="G16" s="1">
        <v>9.2373406135866389</v>
      </c>
      <c r="H16" s="3">
        <v>-729.36995799369481</v>
      </c>
      <c r="I16">
        <v>-666.53921757941441</v>
      </c>
    </row>
    <row r="17" spans="1:9" x14ac:dyDescent="0.35">
      <c r="A17">
        <v>2024</v>
      </c>
      <c r="B17" s="1">
        <v>4.5730971681166039</v>
      </c>
      <c r="C17" s="1">
        <v>1.619449945594762</v>
      </c>
      <c r="D17" s="2">
        <v>847.44436564317641</v>
      </c>
      <c r="E17" s="1">
        <v>0.87467820856895506</v>
      </c>
      <c r="F17" s="1">
        <v>1355.0109741965646</v>
      </c>
      <c r="G17" s="1">
        <v>1.4410683377254134</v>
      </c>
      <c r="H17" s="3">
        <v>-914.75299206839327</v>
      </c>
      <c r="I17">
        <v>-883.15703557920619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0788-E5D4-4222-B178-A9BBD3B88407}">
  <dimension ref="A1:O233"/>
  <sheetViews>
    <sheetView tabSelected="1" topLeftCell="A24" workbookViewId="0">
      <selection activeCell="F37" sqref="F37"/>
    </sheetView>
  </sheetViews>
  <sheetFormatPr defaultRowHeight="15.5" x14ac:dyDescent="0.35"/>
  <cols>
    <col min="1" max="1" width="14.08203125" bestFit="1" customWidth="1"/>
    <col min="2" max="2" width="9.25" bestFit="1" customWidth="1"/>
    <col min="3" max="6" width="11.83203125" bestFit="1" customWidth="1"/>
    <col min="7" max="7" width="10.9140625" bestFit="1" customWidth="1"/>
    <col min="10" max="10" width="11.25" bestFit="1" customWidth="1"/>
    <col min="13" max="13" width="8.75" bestFit="1" customWidth="1"/>
    <col min="14" max="14" width="9.25" bestFit="1" customWidth="1"/>
  </cols>
  <sheetData>
    <row r="1" spans="1:12" x14ac:dyDescent="0.35">
      <c r="A1" t="s">
        <v>82</v>
      </c>
      <c r="B1" t="s">
        <v>75</v>
      </c>
      <c r="C1" t="s">
        <v>83</v>
      </c>
      <c r="D1" t="s">
        <v>84</v>
      </c>
      <c r="E1" t="s">
        <v>85</v>
      </c>
      <c r="F1" t="s">
        <v>81</v>
      </c>
      <c r="G1" t="s">
        <v>73</v>
      </c>
      <c r="H1" t="s">
        <v>70</v>
      </c>
      <c r="I1" t="s">
        <v>86</v>
      </c>
      <c r="J1" t="s">
        <v>87</v>
      </c>
      <c r="K1" t="s">
        <v>88</v>
      </c>
      <c r="L1" t="s">
        <v>89</v>
      </c>
    </row>
    <row r="2" spans="1:12" x14ac:dyDescent="0.35">
      <c r="A2" s="4">
        <v>39052</v>
      </c>
      <c r="B2" s="1">
        <v>1</v>
      </c>
      <c r="C2" s="1">
        <v>99.076129000917419</v>
      </c>
      <c r="D2" s="1">
        <v>99.109803437089056</v>
      </c>
      <c r="E2" s="1">
        <v>98.763408586363838</v>
      </c>
      <c r="F2" s="1">
        <v>100.12752092395564</v>
      </c>
      <c r="L2">
        <v>186</v>
      </c>
    </row>
    <row r="3" spans="1:12" x14ac:dyDescent="0.35">
      <c r="A3" s="4">
        <v>39083</v>
      </c>
      <c r="B3" s="1">
        <v>2.2999999999999998</v>
      </c>
      <c r="C3" s="1">
        <v>100.00000000000001</v>
      </c>
      <c r="D3" s="1">
        <v>99.999999999999986</v>
      </c>
      <c r="E3" s="1">
        <v>100</v>
      </c>
      <c r="F3" s="1">
        <v>100</v>
      </c>
      <c r="L3">
        <v>187</v>
      </c>
    </row>
    <row r="4" spans="1:12" x14ac:dyDescent="0.35">
      <c r="A4" s="4">
        <v>39114</v>
      </c>
      <c r="B4" s="1">
        <v>1.5</v>
      </c>
      <c r="C4" s="1">
        <v>99.847579200131605</v>
      </c>
      <c r="D4" s="1">
        <v>100.32261080245964</v>
      </c>
      <c r="E4" s="1">
        <v>99.571213745511926</v>
      </c>
      <c r="F4" s="1">
        <v>100.12086929058913</v>
      </c>
      <c r="L4">
        <v>187</v>
      </c>
    </row>
    <row r="5" spans="1:12" x14ac:dyDescent="0.35">
      <c r="A5" s="4">
        <v>39142</v>
      </c>
      <c r="B5" s="1">
        <v>0.6</v>
      </c>
      <c r="C5" s="1">
        <v>99.390858883031441</v>
      </c>
      <c r="D5" s="1">
        <v>100.34146336328773</v>
      </c>
      <c r="E5" s="1">
        <v>98.385642418028951</v>
      </c>
      <c r="F5" s="1">
        <v>100.70775237135578</v>
      </c>
      <c r="L5">
        <v>186</v>
      </c>
    </row>
    <row r="6" spans="1:12" x14ac:dyDescent="0.35">
      <c r="A6" s="4">
        <v>39173</v>
      </c>
      <c r="B6" s="1">
        <v>0.3</v>
      </c>
      <c r="C6" s="1">
        <v>97.944688085789181</v>
      </c>
      <c r="D6" s="1">
        <v>98.32934314957356</v>
      </c>
      <c r="E6" s="1">
        <v>97.144294825959392</v>
      </c>
      <c r="F6" s="1">
        <v>100.3672495351215</v>
      </c>
      <c r="L6">
        <v>187</v>
      </c>
    </row>
    <row r="7" spans="1:12" x14ac:dyDescent="0.35">
      <c r="A7" s="4">
        <v>39203</v>
      </c>
      <c r="B7" s="1">
        <v>0.6</v>
      </c>
      <c r="C7" s="1">
        <v>97.85717687830622</v>
      </c>
      <c r="D7" s="1">
        <v>98.694926793365298</v>
      </c>
      <c r="E7" s="1">
        <v>97.07933735224627</v>
      </c>
      <c r="F7" s="1">
        <v>100.56347332093117</v>
      </c>
      <c r="L7">
        <v>187</v>
      </c>
    </row>
    <row r="8" spans="1:12" x14ac:dyDescent="0.35">
      <c r="A8" s="4">
        <v>39234</v>
      </c>
      <c r="B8" s="1">
        <v>1</v>
      </c>
      <c r="C8" s="1">
        <v>97.276262387830997</v>
      </c>
      <c r="D8" s="1">
        <v>97.84022401357339</v>
      </c>
      <c r="E8" s="1">
        <v>96.861364963448978</v>
      </c>
      <c r="F8" s="1">
        <v>99.996373097024403</v>
      </c>
      <c r="L8">
        <v>188</v>
      </c>
    </row>
    <row r="9" spans="1:12" x14ac:dyDescent="0.35">
      <c r="A9" s="4">
        <v>39264</v>
      </c>
      <c r="B9" s="1">
        <v>1.3</v>
      </c>
      <c r="C9" s="1">
        <v>97.15295649767836</v>
      </c>
      <c r="D9" s="1">
        <v>97.392993371937308</v>
      </c>
      <c r="E9" s="1">
        <v>96.623282750353042</v>
      </c>
      <c r="F9" s="1">
        <v>100.15360607455605</v>
      </c>
      <c r="L9">
        <v>188</v>
      </c>
    </row>
    <row r="10" spans="1:12" x14ac:dyDescent="0.35">
      <c r="A10" s="4">
        <v>39295</v>
      </c>
      <c r="B10" s="1">
        <v>6.4</v>
      </c>
      <c r="C10" s="1">
        <v>101.55335163107026</v>
      </c>
      <c r="D10" s="1">
        <v>100.75475630715785</v>
      </c>
      <c r="E10" s="1">
        <v>101.08925766740018</v>
      </c>
      <c r="F10" s="1">
        <v>100.66590263970787</v>
      </c>
      <c r="L10">
        <v>187</v>
      </c>
    </row>
    <row r="11" spans="1:12" x14ac:dyDescent="0.35">
      <c r="A11" s="4">
        <v>39326</v>
      </c>
      <c r="B11" s="1">
        <v>6.4</v>
      </c>
      <c r="C11" s="1">
        <v>100.76338866008504</v>
      </c>
      <c r="D11" s="1">
        <v>99.499980207029324</v>
      </c>
      <c r="E11" s="1">
        <v>100.82045973563805</v>
      </c>
      <c r="F11" s="1">
        <v>100.35064770267708</v>
      </c>
      <c r="L11">
        <v>187</v>
      </c>
    </row>
    <row r="12" spans="1:12" x14ac:dyDescent="0.35">
      <c r="A12" s="4">
        <v>39356</v>
      </c>
      <c r="B12" s="1">
        <v>10.7</v>
      </c>
      <c r="C12" s="1">
        <v>104.10144573784527</v>
      </c>
      <c r="D12" s="1">
        <v>102.59488084904977</v>
      </c>
      <c r="E12" s="1">
        <v>104.46356027289497</v>
      </c>
      <c r="F12" s="1">
        <v>99.985481894478241</v>
      </c>
      <c r="L12">
        <v>193</v>
      </c>
    </row>
    <row r="13" spans="1:12" x14ac:dyDescent="0.35">
      <c r="A13" s="4">
        <v>39387</v>
      </c>
      <c r="B13" s="1">
        <v>10.4</v>
      </c>
      <c r="C13" s="1">
        <v>105.84905881735192</v>
      </c>
      <c r="D13" s="1">
        <v>105.91333010380089</v>
      </c>
      <c r="E13" s="1">
        <v>104.89386704649087</v>
      </c>
      <c r="F13" s="1">
        <v>101.53904305390222</v>
      </c>
      <c r="L13">
        <v>185</v>
      </c>
    </row>
    <row r="14" spans="1:12" x14ac:dyDescent="0.35">
      <c r="A14" s="4">
        <v>39417</v>
      </c>
      <c r="B14" s="1">
        <v>10.5</v>
      </c>
      <c r="C14" s="1">
        <v>105.36744363750834</v>
      </c>
      <c r="D14" s="1">
        <v>103.82620273230181</v>
      </c>
      <c r="E14" s="1">
        <v>105.7921372332068</v>
      </c>
      <c r="F14" s="1">
        <v>100.21960585839243</v>
      </c>
      <c r="L14">
        <v>196</v>
      </c>
    </row>
    <row r="15" spans="1:12" x14ac:dyDescent="0.35">
      <c r="A15" s="4">
        <v>39448</v>
      </c>
      <c r="B15" s="1">
        <v>10.7</v>
      </c>
      <c r="C15" s="1">
        <v>106.95416566101406</v>
      </c>
      <c r="D15" s="1">
        <v>106.34480208079019</v>
      </c>
      <c r="E15" s="1">
        <v>107.07751621005899</v>
      </c>
      <c r="F15" s="1">
        <v>101.02034830468745</v>
      </c>
      <c r="L15">
        <v>193</v>
      </c>
    </row>
    <row r="16" spans="1:12" x14ac:dyDescent="0.35">
      <c r="A16" s="4">
        <v>39479</v>
      </c>
      <c r="B16" s="1">
        <v>11.3</v>
      </c>
      <c r="C16" s="1">
        <v>107.37875443599737</v>
      </c>
      <c r="D16" s="1">
        <v>107.28990137258754</v>
      </c>
      <c r="E16" s="1">
        <v>107.19969584976387</v>
      </c>
      <c r="F16" s="1">
        <v>101.19735302868503</v>
      </c>
      <c r="L16">
        <v>194</v>
      </c>
    </row>
    <row r="17" spans="1:12" x14ac:dyDescent="0.35">
      <c r="A17" s="4">
        <v>39508</v>
      </c>
      <c r="B17" s="1">
        <v>13.2</v>
      </c>
      <c r="C17" s="1">
        <v>108.37437069222273</v>
      </c>
      <c r="D17" s="1">
        <v>106.80900428802475</v>
      </c>
      <c r="E17" s="1">
        <v>107.34616051948625</v>
      </c>
      <c r="F17" s="1">
        <v>101.7376285634233</v>
      </c>
      <c r="L17">
        <v>196</v>
      </c>
    </row>
    <row r="18" spans="1:12" x14ac:dyDescent="0.35">
      <c r="A18" s="4">
        <v>39539</v>
      </c>
      <c r="B18" s="1">
        <v>13.5</v>
      </c>
      <c r="C18" s="1">
        <v>107.58049587064924</v>
      </c>
      <c r="D18" s="1">
        <v>105.06660039431063</v>
      </c>
      <c r="E18" s="1">
        <v>106.52135652009274</v>
      </c>
      <c r="F18" s="1">
        <v>101.89807306598379</v>
      </c>
      <c r="L18">
        <v>195</v>
      </c>
    </row>
    <row r="19" spans="1:12" x14ac:dyDescent="0.35">
      <c r="A19" s="4">
        <v>39569</v>
      </c>
      <c r="B19" s="1">
        <v>14.2</v>
      </c>
      <c r="C19" s="1">
        <v>107.70988888783913</v>
      </c>
      <c r="D19" s="1">
        <v>106.25447550698371</v>
      </c>
      <c r="E19" s="1">
        <v>106.61572085906374</v>
      </c>
      <c r="F19" s="1">
        <v>101.81026535699442</v>
      </c>
      <c r="L19">
        <v>197</v>
      </c>
    </row>
    <row r="20" spans="1:12" x14ac:dyDescent="0.35">
      <c r="A20" s="4">
        <v>39600</v>
      </c>
      <c r="B20" s="1">
        <v>14</v>
      </c>
      <c r="C20" s="1">
        <v>106.13807923798355</v>
      </c>
      <c r="D20" s="1">
        <v>103.75836891841733</v>
      </c>
      <c r="E20" s="1">
        <v>105.89585460173936</v>
      </c>
      <c r="F20" s="1">
        <v>100.8720759122929</v>
      </c>
      <c r="L20">
        <v>198</v>
      </c>
    </row>
    <row r="21" spans="1:12" x14ac:dyDescent="0.35">
      <c r="A21" s="4">
        <v>39630</v>
      </c>
      <c r="B21" s="1">
        <v>14.1</v>
      </c>
      <c r="C21" s="1">
        <v>105.8188674956653</v>
      </c>
      <c r="D21" s="1">
        <v>103.54347039446581</v>
      </c>
      <c r="E21" s="1">
        <v>105.51551679497635</v>
      </c>
      <c r="F21" s="1">
        <v>100.56836069490301</v>
      </c>
      <c r="L21">
        <v>198</v>
      </c>
    </row>
    <row r="22" spans="1:12" x14ac:dyDescent="0.35">
      <c r="A22" s="4">
        <v>39661</v>
      </c>
      <c r="B22" s="1">
        <v>7.7</v>
      </c>
      <c r="C22" s="1">
        <v>103.62323567493529</v>
      </c>
      <c r="D22" s="1">
        <v>101.81855215370545</v>
      </c>
      <c r="E22" s="1">
        <v>104.52488304538801</v>
      </c>
      <c r="F22" s="1">
        <v>99.527689571096474</v>
      </c>
      <c r="L22">
        <v>197</v>
      </c>
    </row>
    <row r="23" spans="1:12" x14ac:dyDescent="0.35">
      <c r="A23" s="4">
        <v>39692</v>
      </c>
      <c r="B23" s="1">
        <v>7.8</v>
      </c>
      <c r="C23" s="1">
        <v>103.07030497467471</v>
      </c>
      <c r="D23" s="1">
        <v>101.61983616326458</v>
      </c>
      <c r="E23" s="1">
        <v>104.33141414161591</v>
      </c>
      <c r="F23" s="1">
        <v>99.295872165853538</v>
      </c>
      <c r="L23">
        <v>210</v>
      </c>
    </row>
    <row r="24" spans="1:12" x14ac:dyDescent="0.35">
      <c r="A24" s="4">
        <v>39722</v>
      </c>
      <c r="B24" s="1">
        <v>4.5999999999999996</v>
      </c>
      <c r="C24" s="1">
        <v>105.11171856581186</v>
      </c>
      <c r="D24" s="1">
        <v>105.65853784775416</v>
      </c>
      <c r="E24" s="1">
        <v>105.19437628500769</v>
      </c>
      <c r="F24" s="1">
        <v>100.93757883738397</v>
      </c>
      <c r="L24">
        <v>211</v>
      </c>
    </row>
    <row r="25" spans="1:12" x14ac:dyDescent="0.35">
      <c r="A25" s="4">
        <v>39753</v>
      </c>
      <c r="B25" s="1">
        <v>2.6</v>
      </c>
      <c r="C25" s="1">
        <v>105.17022513035764</v>
      </c>
      <c r="D25" s="1">
        <v>106.76070803127723</v>
      </c>
      <c r="E25" s="1">
        <v>104.56092412689534</v>
      </c>
      <c r="F25" s="1">
        <v>101.66180602059194</v>
      </c>
      <c r="L25">
        <v>215</v>
      </c>
    </row>
    <row r="26" spans="1:12" x14ac:dyDescent="0.35">
      <c r="A26" s="4">
        <v>39783</v>
      </c>
      <c r="B26" s="1">
        <v>0.5</v>
      </c>
      <c r="C26" s="1">
        <v>105.08846117083932</v>
      </c>
      <c r="D26" s="1">
        <v>106.05040896115811</v>
      </c>
      <c r="E26" s="1">
        <v>103.90014367337912</v>
      </c>
      <c r="F26" s="1">
        <v>102.24686524132476</v>
      </c>
      <c r="L26">
        <v>218</v>
      </c>
    </row>
    <row r="27" spans="1:12" x14ac:dyDescent="0.35">
      <c r="A27" s="4">
        <v>39814</v>
      </c>
      <c r="B27" s="1">
        <v>-0.6</v>
      </c>
      <c r="C27" s="1">
        <v>103.50042757628603</v>
      </c>
      <c r="D27" s="1">
        <v>102.83168839982864</v>
      </c>
      <c r="E27" s="1">
        <v>104.54328018724797</v>
      </c>
      <c r="F27" s="1">
        <v>100.71862083012053</v>
      </c>
      <c r="L27">
        <v>224</v>
      </c>
    </row>
    <row r="28" spans="1:12" x14ac:dyDescent="0.35">
      <c r="A28" s="4">
        <v>39845</v>
      </c>
      <c r="B28" s="1">
        <v>-1.2</v>
      </c>
      <c r="C28" s="1">
        <v>102.99140882507588</v>
      </c>
      <c r="D28" s="1">
        <v>102.23709135245817</v>
      </c>
      <c r="E28" s="1">
        <v>103.8080828739764</v>
      </c>
      <c r="F28" s="1">
        <v>100.73485413696064</v>
      </c>
      <c r="L28">
        <v>227</v>
      </c>
    </row>
    <row r="29" spans="1:12" x14ac:dyDescent="0.35">
      <c r="A29" s="4">
        <v>39873</v>
      </c>
      <c r="B29" s="1">
        <v>-2</v>
      </c>
      <c r="C29" s="1">
        <v>102.95832603316953</v>
      </c>
      <c r="D29" s="1">
        <v>102.22066426242121</v>
      </c>
      <c r="E29" s="1">
        <v>103.63370864976393</v>
      </c>
      <c r="F29" s="1">
        <v>101.13260883940016</v>
      </c>
      <c r="L29">
        <v>229</v>
      </c>
    </row>
    <row r="30" spans="1:12" x14ac:dyDescent="0.35">
      <c r="A30" s="4">
        <v>39904</v>
      </c>
      <c r="B30" s="1">
        <v>-3.5</v>
      </c>
      <c r="C30" s="1">
        <v>100.90109342820364</v>
      </c>
      <c r="D30" s="1">
        <v>100.47963264950677</v>
      </c>
      <c r="E30" s="1">
        <v>101.42107656046228</v>
      </c>
      <c r="F30" s="1">
        <v>101.073606987712</v>
      </c>
      <c r="L30">
        <v>238</v>
      </c>
    </row>
    <row r="31" spans="1:12" x14ac:dyDescent="0.35">
      <c r="A31" s="4">
        <v>39934</v>
      </c>
      <c r="B31" s="1">
        <v>-4.4000000000000004</v>
      </c>
      <c r="C31" s="1">
        <v>100.11932507854793</v>
      </c>
      <c r="D31" s="1">
        <v>99.087496663383419</v>
      </c>
      <c r="E31" s="1">
        <v>100.95738359182511</v>
      </c>
      <c r="F31" s="1">
        <v>101.1105848196439</v>
      </c>
      <c r="L31">
        <v>240</v>
      </c>
    </row>
    <row r="32" spans="1:12" x14ac:dyDescent="0.35">
      <c r="A32" s="4">
        <v>39965</v>
      </c>
      <c r="B32" s="1">
        <v>-4</v>
      </c>
      <c r="C32" s="1">
        <v>100.84791577072676</v>
      </c>
      <c r="D32" s="1">
        <v>100.27941688214671</v>
      </c>
      <c r="E32" s="1">
        <v>100.94098538815305</v>
      </c>
      <c r="F32" s="1">
        <v>101.20986456620264</v>
      </c>
      <c r="L32">
        <v>231</v>
      </c>
    </row>
    <row r="33" spans="1:15" x14ac:dyDescent="0.35">
      <c r="A33" s="4">
        <v>39995</v>
      </c>
      <c r="B33" s="1">
        <v>-3.7</v>
      </c>
      <c r="C33" s="1">
        <v>100.73391409086457</v>
      </c>
      <c r="D33" s="1">
        <v>99.908498619285211</v>
      </c>
      <c r="E33" s="1">
        <v>101.21558661891419</v>
      </c>
      <c r="F33" s="1">
        <v>101.17773016190192</v>
      </c>
      <c r="L33">
        <v>246</v>
      </c>
    </row>
    <row r="34" spans="1:15" x14ac:dyDescent="0.35">
      <c r="A34" s="4">
        <v>40026</v>
      </c>
      <c r="B34" s="1">
        <v>-3</v>
      </c>
      <c r="C34" s="1">
        <v>100.362832633972</v>
      </c>
      <c r="D34" s="1">
        <v>99.585993274702275</v>
      </c>
      <c r="E34" s="1">
        <v>100.74392269868272</v>
      </c>
      <c r="F34" s="1">
        <v>101.2086234194161</v>
      </c>
      <c r="L34">
        <v>273</v>
      </c>
    </row>
    <row r="35" spans="1:15" x14ac:dyDescent="0.35">
      <c r="A35" s="4">
        <v>40057</v>
      </c>
      <c r="B35" s="1">
        <v>-2.7</v>
      </c>
      <c r="C35" s="1">
        <v>100.71768748062496</v>
      </c>
      <c r="D35" s="1">
        <v>99.626012964452556</v>
      </c>
      <c r="E35" s="1">
        <v>101.08804928964736</v>
      </c>
      <c r="F35" s="1">
        <v>101.283504714472</v>
      </c>
      <c r="L35">
        <v>249</v>
      </c>
      <c r="N35" s="1"/>
      <c r="O35" s="1"/>
    </row>
    <row r="36" spans="1:15" x14ac:dyDescent="0.35">
      <c r="A36" s="4">
        <v>40087</v>
      </c>
      <c r="B36" s="1">
        <v>-2.6</v>
      </c>
      <c r="C36" s="1">
        <v>101.88096801871987</v>
      </c>
      <c r="D36" s="1">
        <v>101.2319060760903</v>
      </c>
      <c r="E36" s="1">
        <v>101.98939093767521</v>
      </c>
      <c r="F36" s="1">
        <v>101.54597650407915</v>
      </c>
      <c r="L36">
        <v>256</v>
      </c>
      <c r="N36" s="1"/>
      <c r="O36" s="1"/>
    </row>
    <row r="37" spans="1:15" x14ac:dyDescent="0.35">
      <c r="A37" s="4">
        <v>40118</v>
      </c>
      <c r="B37" s="1">
        <v>-1.4</v>
      </c>
      <c r="C37" s="1">
        <v>101.86376723114124</v>
      </c>
      <c r="D37" s="1">
        <v>101.07291070138008</v>
      </c>
      <c r="E37" s="1">
        <v>102.10054610919603</v>
      </c>
      <c r="F37" s="1">
        <v>101.73427021782626</v>
      </c>
      <c r="L37">
        <v>267</v>
      </c>
      <c r="N37" s="1"/>
      <c r="O37" s="1"/>
    </row>
    <row r="38" spans="1:15" x14ac:dyDescent="0.35">
      <c r="A38" s="4">
        <v>40148</v>
      </c>
      <c r="B38" s="1">
        <v>0.1</v>
      </c>
      <c r="C38" s="1">
        <v>102.19249929514525</v>
      </c>
      <c r="D38" s="1">
        <v>101.30761184159535</v>
      </c>
      <c r="E38" s="1">
        <v>102.55313493700559</v>
      </c>
      <c r="F38" s="1">
        <v>101.63949597798052</v>
      </c>
      <c r="L38">
        <v>275</v>
      </c>
      <c r="N38" s="1"/>
      <c r="O38" s="1"/>
    </row>
    <row r="39" spans="1:15" x14ac:dyDescent="0.35">
      <c r="A39" s="4">
        <v>40179</v>
      </c>
      <c r="B39" s="1">
        <v>0.7</v>
      </c>
      <c r="C39" s="1">
        <v>102.4202883656661</v>
      </c>
      <c r="D39" s="1">
        <v>101.94582636551969</v>
      </c>
      <c r="E39" s="1">
        <v>103.44467362185625</v>
      </c>
      <c r="F39" s="1">
        <v>101.39780737991106</v>
      </c>
      <c r="I39" s="1">
        <v>15.781098589999999</v>
      </c>
      <c r="J39" s="2">
        <v>104.33136513999999</v>
      </c>
      <c r="K39" s="1">
        <f>I39-J39</f>
        <v>-88.550266549999989</v>
      </c>
      <c r="L39">
        <v>259</v>
      </c>
      <c r="O39" s="1"/>
    </row>
    <row r="40" spans="1:15" x14ac:dyDescent="0.35">
      <c r="A40" s="4">
        <v>40210</v>
      </c>
      <c r="B40" s="1">
        <v>1.0840098709776811</v>
      </c>
      <c r="C40" s="1">
        <v>102.30417057072961</v>
      </c>
      <c r="D40" s="1">
        <v>102.35489714374086</v>
      </c>
      <c r="E40" s="1">
        <v>103.38464684190021</v>
      </c>
      <c r="F40" s="1">
        <v>101.32639925776665</v>
      </c>
      <c r="I40" s="1">
        <v>15.760897910000001</v>
      </c>
      <c r="J40" s="2">
        <v>127.38991007000003</v>
      </c>
      <c r="K40" s="1">
        <f t="shared" ref="K40:K103" si="0">I40-J40</f>
        <v>-111.62901216000003</v>
      </c>
      <c r="L40">
        <v>286</v>
      </c>
      <c r="O40" s="1"/>
    </row>
    <row r="41" spans="1:15" x14ac:dyDescent="0.35">
      <c r="A41" s="4">
        <v>40238</v>
      </c>
      <c r="B41" s="1">
        <v>0.81154120543760655</v>
      </c>
      <c r="C41" s="1">
        <v>101.65321700603384</v>
      </c>
      <c r="D41" s="1">
        <v>101.87682281630855</v>
      </c>
      <c r="E41" s="1">
        <v>102.5033410211545</v>
      </c>
      <c r="F41" s="1">
        <v>101.21010418294335</v>
      </c>
      <c r="I41" s="1">
        <v>21.277198759999994</v>
      </c>
      <c r="J41" s="2">
        <v>156.92501459000002</v>
      </c>
      <c r="K41" s="1">
        <f t="shared" si="0"/>
        <v>-135.64781583000001</v>
      </c>
      <c r="L41">
        <v>279</v>
      </c>
      <c r="O41" s="1"/>
    </row>
    <row r="42" spans="1:15" x14ac:dyDescent="0.35">
      <c r="A42" s="4">
        <v>40269</v>
      </c>
      <c r="B42" s="1">
        <v>1.6</v>
      </c>
      <c r="C42" s="1">
        <v>99.978399778061089</v>
      </c>
      <c r="D42" s="1">
        <v>100.58766569544296</v>
      </c>
      <c r="E42" s="1">
        <v>101.02278416525692</v>
      </c>
      <c r="F42" s="1">
        <v>100.94928619312084</v>
      </c>
      <c r="I42" s="1">
        <v>25.455099370000006</v>
      </c>
      <c r="J42" s="2">
        <v>192.41764820999998</v>
      </c>
      <c r="K42" s="1">
        <f t="shared" si="0"/>
        <v>-166.96254883999998</v>
      </c>
      <c r="L42">
        <v>288</v>
      </c>
      <c r="O42" s="1"/>
    </row>
    <row r="43" spans="1:15" x14ac:dyDescent="0.35">
      <c r="A43" s="4">
        <v>40299</v>
      </c>
      <c r="B43" s="1">
        <v>2.2099451257687264</v>
      </c>
      <c r="C43" s="1">
        <v>100.00628165095326</v>
      </c>
      <c r="D43" s="1">
        <v>101.23929604881947</v>
      </c>
      <c r="E43" s="1">
        <v>101.14277748207621</v>
      </c>
      <c r="F43" s="1">
        <v>100.61744164350981</v>
      </c>
      <c r="I43" s="1">
        <v>33.133706779999997</v>
      </c>
      <c r="J43" s="2">
        <v>182.64548385000001</v>
      </c>
      <c r="K43" s="1">
        <f t="shared" si="0"/>
        <v>-149.51177706999999</v>
      </c>
      <c r="L43">
        <v>288</v>
      </c>
      <c r="O43" s="1"/>
    </row>
    <row r="44" spans="1:15" x14ac:dyDescent="0.35">
      <c r="A44" s="4">
        <v>40330</v>
      </c>
      <c r="B44" s="1">
        <v>2.2058827302410293</v>
      </c>
      <c r="C44" s="1">
        <v>99.945870965093974</v>
      </c>
      <c r="D44" s="1">
        <v>101.19378562028223</v>
      </c>
      <c r="E44" s="1">
        <v>101.27979445142587</v>
      </c>
      <c r="F44" s="1">
        <v>100.38068871926771</v>
      </c>
      <c r="I44" s="1">
        <v>30.898085629999997</v>
      </c>
      <c r="J44" s="2">
        <v>189.26259155999992</v>
      </c>
      <c r="K44" s="1">
        <f t="shared" si="0"/>
        <v>-158.36450592999992</v>
      </c>
      <c r="L44">
        <v>291</v>
      </c>
      <c r="O44" s="1"/>
    </row>
    <row r="45" spans="1:15" x14ac:dyDescent="0.35">
      <c r="A45" s="4">
        <v>40360</v>
      </c>
      <c r="B45" s="1">
        <v>2.6703498734925262</v>
      </c>
      <c r="C45" s="1">
        <v>100.40126984533639</v>
      </c>
      <c r="D45" s="1">
        <v>101.90159847905157</v>
      </c>
      <c r="E45" s="1">
        <v>101.7619507810265</v>
      </c>
      <c r="F45" s="1">
        <v>100.38926937570467</v>
      </c>
      <c r="I45" s="1">
        <v>22.243601019999971</v>
      </c>
      <c r="J45" s="2">
        <v>211.07831484999997</v>
      </c>
      <c r="K45" s="1">
        <f t="shared" si="0"/>
        <v>-188.83471383</v>
      </c>
      <c r="L45">
        <v>301</v>
      </c>
      <c r="O45" s="1"/>
    </row>
    <row r="46" spans="1:15" x14ac:dyDescent="0.35">
      <c r="A46" s="4">
        <v>40391</v>
      </c>
      <c r="B46" s="1">
        <v>6</v>
      </c>
      <c r="C46" s="1">
        <v>103.10209564661588</v>
      </c>
      <c r="D46" s="1">
        <v>104.20971716628631</v>
      </c>
      <c r="E46" s="1">
        <v>104.57730623604587</v>
      </c>
      <c r="F46" s="1">
        <v>100.57659015251224</v>
      </c>
      <c r="I46" s="1">
        <v>26.261913880000037</v>
      </c>
      <c r="J46" s="2">
        <v>208.66511233999995</v>
      </c>
      <c r="K46" s="1">
        <f t="shared" si="0"/>
        <v>-182.40319845999991</v>
      </c>
      <c r="L46">
        <v>283</v>
      </c>
      <c r="O46" s="1"/>
    </row>
    <row r="47" spans="1:15" x14ac:dyDescent="0.35">
      <c r="A47" s="4">
        <v>40422</v>
      </c>
      <c r="B47" s="1">
        <v>6</v>
      </c>
      <c r="C47" s="1">
        <v>103.15941996333612</v>
      </c>
      <c r="D47" s="1">
        <v>104.24077744787891</v>
      </c>
      <c r="E47" s="1">
        <v>104.73597408358009</v>
      </c>
      <c r="F47" s="1">
        <v>100.57002396683212</v>
      </c>
      <c r="I47" s="1">
        <v>25.282523819999994</v>
      </c>
      <c r="J47" s="2">
        <v>191.49097187000007</v>
      </c>
      <c r="K47" s="1">
        <f t="shared" si="0"/>
        <v>-166.20844805000007</v>
      </c>
      <c r="L47">
        <v>287</v>
      </c>
      <c r="O47" s="1"/>
    </row>
    <row r="48" spans="1:15" x14ac:dyDescent="0.35">
      <c r="A48" s="4">
        <v>40452</v>
      </c>
      <c r="B48" s="1">
        <v>6</v>
      </c>
      <c r="C48" s="1">
        <v>104.32154963616136</v>
      </c>
      <c r="D48" s="1">
        <v>105.20243157872216</v>
      </c>
      <c r="E48" s="1">
        <v>105.65108268406559</v>
      </c>
      <c r="F48" s="1">
        <v>101.01000881898547</v>
      </c>
      <c r="I48" s="1">
        <v>28.439552249999991</v>
      </c>
      <c r="J48" s="2">
        <v>195.86278687000004</v>
      </c>
      <c r="K48" s="1">
        <f t="shared" si="0"/>
        <v>-167.42323462000004</v>
      </c>
      <c r="L48">
        <v>297</v>
      </c>
      <c r="O48" s="1"/>
    </row>
    <row r="49" spans="1:15" x14ac:dyDescent="0.35">
      <c r="A49" s="4">
        <v>40483</v>
      </c>
      <c r="B49" s="1">
        <v>6.1650048240660738</v>
      </c>
      <c r="C49" s="1">
        <v>104.50950192148865</v>
      </c>
      <c r="D49" s="1">
        <v>105.40800533550437</v>
      </c>
      <c r="E49" s="1">
        <v>105.92541042489798</v>
      </c>
      <c r="F49" s="1">
        <v>101.08464049986988</v>
      </c>
      <c r="I49" s="1">
        <v>26.032478510000004</v>
      </c>
      <c r="J49" s="2">
        <v>188.76155585000015</v>
      </c>
      <c r="K49" s="1">
        <f t="shared" si="0"/>
        <v>-162.72907734000015</v>
      </c>
      <c r="L49">
        <v>288</v>
      </c>
      <c r="O49" s="1"/>
    </row>
    <row r="50" spans="1:15" x14ac:dyDescent="0.35">
      <c r="A50" s="4">
        <v>40513</v>
      </c>
      <c r="B50" s="1">
        <v>6.5</v>
      </c>
      <c r="C50" s="1">
        <v>104.8429386613783</v>
      </c>
      <c r="D50" s="1">
        <v>105.78197532590691</v>
      </c>
      <c r="E50" s="1">
        <v>106.42593189587883</v>
      </c>
      <c r="F50" s="1">
        <v>100.84057292894583</v>
      </c>
      <c r="I50" s="1">
        <v>25.390598670000031</v>
      </c>
      <c r="J50" s="2">
        <v>208.89471344000003</v>
      </c>
      <c r="K50" s="1">
        <f t="shared" si="0"/>
        <v>-183.50411477</v>
      </c>
      <c r="L50">
        <v>308</v>
      </c>
      <c r="O50" s="1"/>
    </row>
    <row r="51" spans="1:15" x14ac:dyDescent="0.35">
      <c r="A51" s="4">
        <v>40544</v>
      </c>
      <c r="B51" s="1">
        <v>7.4372762118285749</v>
      </c>
      <c r="C51" s="1">
        <v>106.27588265400431</v>
      </c>
      <c r="D51" s="1">
        <v>106.23149275088281</v>
      </c>
      <c r="E51" s="1">
        <v>108.19922521653278</v>
      </c>
      <c r="F51" s="1">
        <v>100.88395908876451</v>
      </c>
      <c r="I51" s="1">
        <v>23.014397599999995</v>
      </c>
      <c r="J51" s="2">
        <v>133.00178236000008</v>
      </c>
      <c r="K51" s="1">
        <f t="shared" si="0"/>
        <v>-109.98738476000008</v>
      </c>
      <c r="L51">
        <v>278</v>
      </c>
      <c r="O51" s="1"/>
    </row>
    <row r="52" spans="1:15" x14ac:dyDescent="0.35">
      <c r="A52" s="4">
        <v>40575</v>
      </c>
      <c r="B52" s="1">
        <v>9.4</v>
      </c>
      <c r="C52" s="1">
        <v>108.13978595330579</v>
      </c>
      <c r="D52" s="1">
        <v>107.68347397860752</v>
      </c>
      <c r="E52" s="1">
        <v>110.03943432157655</v>
      </c>
      <c r="F52" s="1">
        <v>101.07552464186185</v>
      </c>
      <c r="I52" s="1">
        <v>28.142884070000008</v>
      </c>
      <c r="J52" s="2">
        <v>149.57941021999997</v>
      </c>
      <c r="K52" s="1">
        <f t="shared" si="0"/>
        <v>-121.43652614999996</v>
      </c>
      <c r="L52">
        <v>284</v>
      </c>
      <c r="O52" s="1"/>
    </row>
    <row r="53" spans="1:15" x14ac:dyDescent="0.35">
      <c r="A53" s="4">
        <v>40603</v>
      </c>
      <c r="B53" s="1">
        <v>10.822898665636345</v>
      </c>
      <c r="C53" s="1">
        <v>107.72495509300779</v>
      </c>
      <c r="D53" s="1">
        <v>106.60043969896853</v>
      </c>
      <c r="E53" s="1">
        <v>110.08559207802435</v>
      </c>
      <c r="F53" s="1">
        <v>100.60561595515874</v>
      </c>
      <c r="I53" s="1">
        <v>27.070165469999992</v>
      </c>
      <c r="J53" s="2">
        <v>191.59953912999998</v>
      </c>
      <c r="K53" s="1">
        <f t="shared" si="0"/>
        <v>-164.52937365999998</v>
      </c>
      <c r="L53">
        <v>351</v>
      </c>
      <c r="O53" s="1"/>
    </row>
    <row r="54" spans="1:15" x14ac:dyDescent="0.35">
      <c r="A54" s="4">
        <v>40634</v>
      </c>
      <c r="B54" s="1">
        <v>10.7</v>
      </c>
      <c r="C54" s="1">
        <v>106.99432185957734</v>
      </c>
      <c r="D54" s="1">
        <v>106.55162373931695</v>
      </c>
      <c r="E54" s="1">
        <v>108.09395680814183</v>
      </c>
      <c r="F54" s="1">
        <v>101.25295911594317</v>
      </c>
      <c r="I54" s="1">
        <v>29.57266903</v>
      </c>
      <c r="J54" s="2">
        <v>197.78114507999987</v>
      </c>
      <c r="K54" s="1">
        <f t="shared" si="0"/>
        <v>-168.20847604999989</v>
      </c>
      <c r="L54">
        <v>362</v>
      </c>
      <c r="O54" s="1"/>
    </row>
    <row r="55" spans="1:15" x14ac:dyDescent="0.35">
      <c r="A55" s="4">
        <v>40664</v>
      </c>
      <c r="B55" s="1">
        <v>10.3</v>
      </c>
      <c r="C55" s="1">
        <v>106.6473220834017</v>
      </c>
      <c r="D55" s="1">
        <v>106.30065563809053</v>
      </c>
      <c r="E55" s="1">
        <v>108.08871795734936</v>
      </c>
      <c r="F55" s="1">
        <v>100.92723235034715</v>
      </c>
      <c r="I55" s="1">
        <v>29.520770470000002</v>
      </c>
      <c r="J55" s="2">
        <v>216.63332457000001</v>
      </c>
      <c r="K55" s="1">
        <f t="shared" si="0"/>
        <v>-187.11255410000001</v>
      </c>
      <c r="L55">
        <v>369</v>
      </c>
      <c r="O55" s="1"/>
    </row>
    <row r="56" spans="1:15" x14ac:dyDescent="0.35">
      <c r="A56" s="4">
        <v>40695</v>
      </c>
      <c r="B56" s="1">
        <v>9.1726616940133852</v>
      </c>
      <c r="C56" s="1">
        <v>105.93736459685741</v>
      </c>
      <c r="D56" s="1">
        <v>105.97340277938351</v>
      </c>
      <c r="E56" s="1">
        <v>107.18300614225981</v>
      </c>
      <c r="F56" s="1">
        <v>100.97264761163134</v>
      </c>
      <c r="I56" s="1">
        <v>31.11545842999999</v>
      </c>
      <c r="J56" s="2">
        <v>213.27899637999985</v>
      </c>
      <c r="K56" s="1">
        <f t="shared" si="0"/>
        <v>-182.16353794999986</v>
      </c>
      <c r="L56">
        <v>374</v>
      </c>
      <c r="O56" s="1"/>
    </row>
    <row r="57" spans="1:15" x14ac:dyDescent="0.35">
      <c r="A57" s="4">
        <v>40725</v>
      </c>
      <c r="B57" s="1">
        <v>8.3408077372339164</v>
      </c>
      <c r="C57" s="1">
        <v>105.9142091862297</v>
      </c>
      <c r="D57" s="1">
        <v>106.03158654930473</v>
      </c>
      <c r="E57" s="1">
        <v>107.13532003485375</v>
      </c>
      <c r="F57" s="1">
        <v>100.99316492611479</v>
      </c>
      <c r="I57" s="1">
        <v>29.522584719999998</v>
      </c>
      <c r="J57" s="2">
        <v>222.06001900999991</v>
      </c>
      <c r="K57" s="1">
        <f t="shared" si="0"/>
        <v>-192.53743428999991</v>
      </c>
      <c r="L57">
        <v>365</v>
      </c>
      <c r="O57" s="1"/>
    </row>
    <row r="58" spans="1:15" x14ac:dyDescent="0.35">
      <c r="A58" s="4">
        <v>40756</v>
      </c>
      <c r="B58" s="1">
        <v>5.3135896781477072</v>
      </c>
      <c r="C58" s="1">
        <v>105.90515027470151</v>
      </c>
      <c r="D58" s="1">
        <v>105.9718349186606</v>
      </c>
      <c r="E58" s="1">
        <v>107.00079924525194</v>
      </c>
      <c r="F58" s="1">
        <v>101.14475073613771</v>
      </c>
      <c r="I58" s="1">
        <v>23.904025319999988</v>
      </c>
      <c r="J58" s="2">
        <v>229.83825759000001</v>
      </c>
      <c r="K58" s="1">
        <f t="shared" si="0"/>
        <v>-205.93423227000002</v>
      </c>
      <c r="L58">
        <v>367</v>
      </c>
      <c r="O58" s="1"/>
    </row>
    <row r="59" spans="1:15" x14ac:dyDescent="0.35">
      <c r="A59" s="4">
        <v>40787</v>
      </c>
      <c r="B59" s="1">
        <v>4.7</v>
      </c>
      <c r="C59" s="1">
        <v>105.226846526873</v>
      </c>
      <c r="D59" s="1">
        <v>105.53022469897029</v>
      </c>
      <c r="E59" s="1">
        <v>106.19742170418857</v>
      </c>
      <c r="F59" s="1">
        <v>101.10383977712824</v>
      </c>
      <c r="I59" s="1">
        <v>25.01483854</v>
      </c>
      <c r="J59" s="2">
        <v>217.3977662100001</v>
      </c>
      <c r="K59" s="1">
        <f t="shared" si="0"/>
        <v>-192.3829276700001</v>
      </c>
      <c r="L59">
        <v>367</v>
      </c>
      <c r="O59" s="1"/>
    </row>
    <row r="60" spans="1:15" x14ac:dyDescent="0.35">
      <c r="A60" s="4">
        <v>40817</v>
      </c>
      <c r="B60" s="1">
        <v>4.7169812757981759</v>
      </c>
      <c r="C60" s="1">
        <v>106.1284168711158</v>
      </c>
      <c r="D60" s="1">
        <v>106.34700562991603</v>
      </c>
      <c r="E60" s="1">
        <v>107.03234574473524</v>
      </c>
      <c r="F60" s="1">
        <v>101.21499956750566</v>
      </c>
      <c r="I60" s="1">
        <v>27.942979970000039</v>
      </c>
      <c r="J60" s="2">
        <v>246.86967817999971</v>
      </c>
      <c r="K60" s="1">
        <f t="shared" si="0"/>
        <v>-218.92669820999967</v>
      </c>
      <c r="L60">
        <v>371</v>
      </c>
      <c r="O60" s="1"/>
    </row>
    <row r="61" spans="1:15" x14ac:dyDescent="0.35">
      <c r="A61" s="4">
        <v>40848</v>
      </c>
      <c r="B61" s="1">
        <v>4.1844583446946899</v>
      </c>
      <c r="C61" s="1">
        <v>105.73931852490605</v>
      </c>
      <c r="D61" s="1">
        <v>105.96212764093586</v>
      </c>
      <c r="E61" s="1">
        <v>106.77040457768257</v>
      </c>
      <c r="F61" s="1">
        <v>101.17732220986689</v>
      </c>
      <c r="I61" s="1">
        <v>22.082562659999951</v>
      </c>
      <c r="J61" s="2">
        <v>224.32274803000018</v>
      </c>
      <c r="K61" s="1">
        <f t="shared" si="0"/>
        <v>-202.24018537000023</v>
      </c>
      <c r="L61">
        <v>372</v>
      </c>
      <c r="O61" s="1"/>
    </row>
    <row r="62" spans="1:15" x14ac:dyDescent="0.35">
      <c r="A62" s="4">
        <v>40878</v>
      </c>
      <c r="B62" s="1">
        <v>3.5</v>
      </c>
      <c r="C62" s="1">
        <v>105.84997388207407</v>
      </c>
      <c r="D62" s="1">
        <v>106.55995896381715</v>
      </c>
      <c r="E62" s="1">
        <v>106.87797643940043</v>
      </c>
      <c r="F62" s="1">
        <v>101.07892053194325</v>
      </c>
      <c r="I62" s="1">
        <v>22.261423820000005</v>
      </c>
      <c r="J62" s="2">
        <v>249.98570706999999</v>
      </c>
      <c r="K62" s="1">
        <f t="shared" si="0"/>
        <v>-227.72428324999998</v>
      </c>
      <c r="L62">
        <v>375</v>
      </c>
      <c r="O62" s="1"/>
    </row>
    <row r="63" spans="1:15" x14ac:dyDescent="0.35">
      <c r="A63" s="4">
        <v>40909</v>
      </c>
      <c r="B63" s="1">
        <v>3</v>
      </c>
      <c r="C63" s="1">
        <v>106.45025310639549</v>
      </c>
      <c r="D63" s="1">
        <v>106.82589868587192</v>
      </c>
      <c r="E63" s="1">
        <v>108.24631636317437</v>
      </c>
      <c r="F63" s="1">
        <v>100.87523065882098</v>
      </c>
      <c r="I63" s="1">
        <v>19.20459949</v>
      </c>
      <c r="J63" s="2">
        <v>132.16880153999995</v>
      </c>
      <c r="K63" s="1">
        <f t="shared" si="0"/>
        <v>-112.96420204999995</v>
      </c>
      <c r="L63">
        <v>365</v>
      </c>
      <c r="O63" s="1"/>
    </row>
    <row r="64" spans="1:15" x14ac:dyDescent="0.35">
      <c r="A64" s="4">
        <v>40940</v>
      </c>
      <c r="B64" s="1">
        <v>1.8</v>
      </c>
      <c r="C64" s="1">
        <v>107.15772547589542</v>
      </c>
      <c r="D64" s="1">
        <v>107.77453232639478</v>
      </c>
      <c r="E64" s="1">
        <v>108.71946655606747</v>
      </c>
      <c r="F64" s="1">
        <v>101.02322687759846</v>
      </c>
      <c r="I64" s="1">
        <v>15.790078940000001</v>
      </c>
      <c r="J64" s="2">
        <v>125.28786848999995</v>
      </c>
      <c r="K64" s="1">
        <f t="shared" si="0"/>
        <v>-109.49778954999995</v>
      </c>
      <c r="L64">
        <v>360</v>
      </c>
      <c r="O64" s="1"/>
    </row>
    <row r="65" spans="1:15" x14ac:dyDescent="0.35">
      <c r="A65" s="4">
        <v>40969</v>
      </c>
      <c r="B65" s="1">
        <v>0.7</v>
      </c>
      <c r="C65" s="1">
        <v>106.85347569128986</v>
      </c>
      <c r="D65" s="1">
        <v>108.30847903531959</v>
      </c>
      <c r="E65" s="1">
        <v>107.68329378843691</v>
      </c>
      <c r="F65" s="1">
        <v>101.166050586292</v>
      </c>
      <c r="I65" s="1">
        <v>24.179068450000003</v>
      </c>
      <c r="J65" s="2">
        <v>201.78689552000003</v>
      </c>
      <c r="K65" s="1">
        <f t="shared" si="0"/>
        <v>-177.60782707000004</v>
      </c>
      <c r="L65">
        <v>364</v>
      </c>
      <c r="O65" s="1"/>
    </row>
    <row r="66" spans="1:15" x14ac:dyDescent="0.35">
      <c r="A66" s="4">
        <v>41000</v>
      </c>
      <c r="B66" s="1">
        <v>1.1000000000000001</v>
      </c>
      <c r="C66" s="1">
        <v>105.63944424018973</v>
      </c>
      <c r="D66" s="1">
        <v>107.11926070691942</v>
      </c>
      <c r="E66" s="1">
        <v>106.5057236246025</v>
      </c>
      <c r="F66" s="1">
        <v>101.1226220088453</v>
      </c>
      <c r="I66" s="1">
        <v>20.829666330000002</v>
      </c>
      <c r="J66" s="2">
        <v>217.22811245999992</v>
      </c>
      <c r="K66" s="1">
        <f t="shared" si="0"/>
        <v>-196.39844612999991</v>
      </c>
      <c r="L66">
        <v>365</v>
      </c>
      <c r="O66" s="1"/>
    </row>
    <row r="67" spans="1:15" x14ac:dyDescent="0.35">
      <c r="A67" s="4">
        <v>41030</v>
      </c>
      <c r="B67" s="1">
        <v>1.061224580267762</v>
      </c>
      <c r="C67" s="1">
        <v>105.63538262522789</v>
      </c>
      <c r="D67" s="1">
        <v>107.44712073524964</v>
      </c>
      <c r="E67" s="1">
        <v>106.52745673186995</v>
      </c>
      <c r="F67" s="1">
        <v>101.0329256094258</v>
      </c>
      <c r="I67" s="1">
        <v>25.134102580000004</v>
      </c>
      <c r="J67" s="2">
        <v>231.6697295099998</v>
      </c>
      <c r="K67" s="1">
        <f t="shared" si="0"/>
        <v>-206.53562692999981</v>
      </c>
      <c r="L67">
        <v>365</v>
      </c>
      <c r="O67" s="1"/>
    </row>
    <row r="68" spans="1:15" x14ac:dyDescent="0.35">
      <c r="A68" s="4">
        <v>41061</v>
      </c>
      <c r="B68" s="1">
        <v>1.7298193344631869</v>
      </c>
      <c r="C68" s="1">
        <v>105.42433049583781</v>
      </c>
      <c r="D68" s="1">
        <v>107.24379449917882</v>
      </c>
      <c r="E68" s="1">
        <v>106.38594423249994</v>
      </c>
      <c r="F68" s="1">
        <v>100.97364095745608</v>
      </c>
      <c r="I68" s="1">
        <v>30.245368659999997</v>
      </c>
      <c r="J68" s="2">
        <v>217.94156668999995</v>
      </c>
      <c r="K68" s="1">
        <f t="shared" si="0"/>
        <v>-187.69619802999995</v>
      </c>
      <c r="L68">
        <v>367</v>
      </c>
      <c r="O68" s="1"/>
    </row>
    <row r="69" spans="1:15" x14ac:dyDescent="0.35">
      <c r="A69" s="4">
        <v>41091</v>
      </c>
      <c r="B69" s="1">
        <v>2.2350994429574342</v>
      </c>
      <c r="C69" s="1">
        <v>105.54288926483306</v>
      </c>
      <c r="D69" s="1">
        <v>107.4475507518852</v>
      </c>
      <c r="E69" s="1">
        <v>106.80070424900092</v>
      </c>
      <c r="F69" s="1">
        <v>100.84167910937434</v>
      </c>
      <c r="I69" s="1">
        <v>25.799777890000001</v>
      </c>
      <c r="J69" s="2">
        <v>234.39267590000009</v>
      </c>
      <c r="K69" s="1">
        <f t="shared" si="0"/>
        <v>-208.59289801000008</v>
      </c>
      <c r="L69">
        <v>369</v>
      </c>
      <c r="O69" s="1"/>
    </row>
    <row r="70" spans="1:15" x14ac:dyDescent="0.35">
      <c r="A70" s="4">
        <v>41122</v>
      </c>
      <c r="B70" s="1">
        <v>3.1430927608103474</v>
      </c>
      <c r="C70" s="1">
        <v>105.861804877211</v>
      </c>
      <c r="D70" s="1">
        <v>107.19344959627188</v>
      </c>
      <c r="E70" s="1">
        <v>107.44686703294799</v>
      </c>
      <c r="F70" s="1">
        <v>100.85466350668044</v>
      </c>
      <c r="I70" s="1">
        <v>20.900852810000004</v>
      </c>
      <c r="J70" s="2">
        <v>239.94455114000016</v>
      </c>
      <c r="K70" s="1">
        <f t="shared" si="0"/>
        <v>-219.04369833000015</v>
      </c>
      <c r="L70">
        <v>366</v>
      </c>
      <c r="O70" s="1"/>
    </row>
    <row r="71" spans="1:15" x14ac:dyDescent="0.35">
      <c r="A71" s="4">
        <v>41153</v>
      </c>
      <c r="B71" s="1">
        <v>4.2</v>
      </c>
      <c r="C71" s="1">
        <v>106.0861458242339</v>
      </c>
      <c r="D71" s="1">
        <v>106.73958203306856</v>
      </c>
      <c r="E71" s="1">
        <v>107.642877532472</v>
      </c>
      <c r="F71" s="1">
        <v>101.10398614430301</v>
      </c>
      <c r="I71" s="1">
        <v>22.678497159999978</v>
      </c>
      <c r="J71" s="2">
        <v>257.61926087999996</v>
      </c>
      <c r="K71" s="1">
        <f t="shared" si="0"/>
        <v>-234.94076371999998</v>
      </c>
      <c r="L71">
        <v>364</v>
      </c>
      <c r="O71" s="1"/>
    </row>
    <row r="72" spans="1:15" x14ac:dyDescent="0.35">
      <c r="A72" s="4">
        <v>41183</v>
      </c>
      <c r="B72" s="1">
        <v>3.7674035180372982</v>
      </c>
      <c r="C72" s="1">
        <v>106.3420757617718</v>
      </c>
      <c r="D72" s="1">
        <v>106.51993846000556</v>
      </c>
      <c r="E72" s="1">
        <v>108.20161946388664</v>
      </c>
      <c r="F72" s="1">
        <v>101.12888255724909</v>
      </c>
      <c r="I72" s="1">
        <v>25.584416290000007</v>
      </c>
      <c r="J72" s="2">
        <v>222.47848231999978</v>
      </c>
      <c r="K72" s="1">
        <f t="shared" si="0"/>
        <v>-196.89406602999978</v>
      </c>
      <c r="L72">
        <v>365</v>
      </c>
      <c r="O72" s="1"/>
    </row>
    <row r="73" spans="1:15" x14ac:dyDescent="0.35">
      <c r="A73" s="4">
        <v>41214</v>
      </c>
      <c r="B73" s="1">
        <v>3.4</v>
      </c>
      <c r="C73" s="1">
        <v>105.83260903941884</v>
      </c>
      <c r="D73" s="1">
        <v>106.18436120488629</v>
      </c>
      <c r="E73" s="1">
        <v>108.0046529805941</v>
      </c>
      <c r="F73" s="1">
        <v>100.96978570906944</v>
      </c>
      <c r="I73" s="1">
        <v>24.466877859999983</v>
      </c>
      <c r="J73" s="2">
        <v>212.62678022</v>
      </c>
      <c r="K73" s="1">
        <f t="shared" si="0"/>
        <v>-188.15990236000002</v>
      </c>
      <c r="L73">
        <v>369</v>
      </c>
      <c r="O73" s="1"/>
    </row>
    <row r="74" spans="1:15" x14ac:dyDescent="0.35">
      <c r="A74" s="4">
        <v>41244</v>
      </c>
      <c r="B74" s="1">
        <v>3.6734692228765482</v>
      </c>
      <c r="C74" s="1">
        <v>106.61107405481357</v>
      </c>
      <c r="D74" s="1">
        <v>106.85958246407354</v>
      </c>
      <c r="E74" s="1">
        <v>108.59415250541105</v>
      </c>
      <c r="F74" s="1">
        <v>101.15470585544529</v>
      </c>
      <c r="I74" s="1">
        <v>21.286755449999987</v>
      </c>
      <c r="J74" s="2">
        <v>214.46389746000023</v>
      </c>
      <c r="K74" s="1">
        <f t="shared" si="0"/>
        <v>-193.17714201000024</v>
      </c>
      <c r="L74">
        <v>372</v>
      </c>
      <c r="O74" s="1"/>
    </row>
    <row r="75" spans="1:15" x14ac:dyDescent="0.35">
      <c r="A75" s="4">
        <v>41275</v>
      </c>
      <c r="B75" s="1">
        <v>3.5</v>
      </c>
      <c r="C75" s="1">
        <v>107.40376676052594</v>
      </c>
      <c r="D75" s="1">
        <v>106.97141030106781</v>
      </c>
      <c r="E75" s="1">
        <v>108.92222534473845</v>
      </c>
      <c r="F75" s="1">
        <v>101.23559095939198</v>
      </c>
      <c r="I75" s="1">
        <v>21.449710760000002</v>
      </c>
      <c r="J75" s="2">
        <v>139.74187231000002</v>
      </c>
      <c r="K75" s="1">
        <f t="shared" si="0"/>
        <v>-118.29216155000002</v>
      </c>
      <c r="L75">
        <v>370</v>
      </c>
      <c r="O75" s="1"/>
    </row>
    <row r="76" spans="1:15" x14ac:dyDescent="0.35">
      <c r="A76" s="4">
        <v>41306</v>
      </c>
      <c r="B76" s="1">
        <v>2.6</v>
      </c>
      <c r="C76" s="1">
        <v>107.09567429169088</v>
      </c>
      <c r="D76" s="1">
        <v>106.71071820874481</v>
      </c>
      <c r="E76" s="1">
        <v>109.47380583212201</v>
      </c>
      <c r="F76" s="1">
        <v>101.29122159341509</v>
      </c>
      <c r="I76" s="1">
        <v>22.628045370000009</v>
      </c>
      <c r="J76" s="2">
        <v>156.30425582999999</v>
      </c>
      <c r="K76" s="1">
        <f t="shared" si="0"/>
        <v>-133.67621045999999</v>
      </c>
      <c r="L76">
        <v>372</v>
      </c>
      <c r="O76" s="1"/>
    </row>
    <row r="77" spans="1:15" x14ac:dyDescent="0.35">
      <c r="A77" s="4">
        <v>41334</v>
      </c>
      <c r="B77" s="1">
        <v>2.5</v>
      </c>
      <c r="C77" s="1">
        <v>106.86376178345336</v>
      </c>
      <c r="D77" s="1">
        <v>107.54670789356946</v>
      </c>
      <c r="E77" s="1">
        <v>108.44584006354717</v>
      </c>
      <c r="F77" s="1">
        <v>101.12420161660836</v>
      </c>
      <c r="I77" s="1">
        <v>23.086350890000006</v>
      </c>
      <c r="J77" s="2">
        <v>195.06632542999995</v>
      </c>
      <c r="K77" s="1">
        <f t="shared" si="0"/>
        <v>-171.97997453999994</v>
      </c>
      <c r="L77">
        <v>370</v>
      </c>
      <c r="O77" s="1"/>
    </row>
    <row r="78" spans="1:15" x14ac:dyDescent="0.35">
      <c r="A78" s="4">
        <v>41365</v>
      </c>
      <c r="B78" s="1">
        <v>2.5</v>
      </c>
      <c r="C78" s="1">
        <v>105.75469245247744</v>
      </c>
      <c r="D78" s="1">
        <v>106.06016005026231</v>
      </c>
      <c r="E78" s="1">
        <v>107.61582981628595</v>
      </c>
      <c r="F78" s="1">
        <v>101.21488732188848</v>
      </c>
      <c r="I78" s="1">
        <v>27.817036300000012</v>
      </c>
      <c r="J78" s="2">
        <v>205.71371359999989</v>
      </c>
      <c r="K78" s="1">
        <f t="shared" si="0"/>
        <v>-177.89667729999988</v>
      </c>
      <c r="L78">
        <v>372</v>
      </c>
      <c r="O78" s="1"/>
    </row>
    <row r="79" spans="1:15" x14ac:dyDescent="0.35">
      <c r="A79" s="4">
        <v>41395</v>
      </c>
      <c r="B79" s="1">
        <v>2.1793136601287557</v>
      </c>
      <c r="C79" s="1">
        <v>105.88933110302715</v>
      </c>
      <c r="D79" s="1">
        <v>106.56685742554578</v>
      </c>
      <c r="E79" s="1">
        <v>107.16083307260132</v>
      </c>
      <c r="F79" s="1">
        <v>101.31574815060711</v>
      </c>
      <c r="I79" s="1">
        <v>27.195432400000001</v>
      </c>
      <c r="J79" s="2">
        <v>213.66604900999994</v>
      </c>
      <c r="K79" s="1">
        <f t="shared" si="0"/>
        <v>-186.47061660999992</v>
      </c>
      <c r="L79">
        <v>374</v>
      </c>
      <c r="O79" s="1"/>
    </row>
    <row r="80" spans="1:15" x14ac:dyDescent="0.35">
      <c r="A80" s="4">
        <v>41426</v>
      </c>
      <c r="B80" s="1">
        <v>2.7</v>
      </c>
      <c r="C80" s="1">
        <v>106.09053911355181</v>
      </c>
      <c r="D80" s="1">
        <v>106.53164248792125</v>
      </c>
      <c r="E80" s="1">
        <v>107.36148924172559</v>
      </c>
      <c r="F80" s="1">
        <v>101.55751619494686</v>
      </c>
      <c r="I80" s="1">
        <v>26.385375479999979</v>
      </c>
      <c r="J80" s="2">
        <v>222.37571938999986</v>
      </c>
      <c r="K80" s="1">
        <f t="shared" si="0"/>
        <v>-195.99034390999986</v>
      </c>
      <c r="L80">
        <v>371</v>
      </c>
      <c r="O80" s="1"/>
    </row>
    <row r="81" spans="1:15" x14ac:dyDescent="0.35">
      <c r="A81" s="4">
        <v>41456</v>
      </c>
      <c r="B81" s="1">
        <v>2.4</v>
      </c>
      <c r="C81" s="1">
        <v>106.21183364305351</v>
      </c>
      <c r="D81" s="1">
        <v>107.13883697391128</v>
      </c>
      <c r="E81" s="1">
        <v>107.36578516741216</v>
      </c>
      <c r="F81" s="1">
        <v>101.47998877908036</v>
      </c>
      <c r="I81" s="1">
        <v>27.132419620000007</v>
      </c>
      <c r="J81" s="2">
        <v>229.50584886000024</v>
      </c>
      <c r="K81" s="1">
        <f t="shared" si="0"/>
        <v>-202.37342924000023</v>
      </c>
      <c r="L81">
        <v>369</v>
      </c>
      <c r="O81" s="1"/>
    </row>
    <row r="82" spans="1:15" x14ac:dyDescent="0.35">
      <c r="A82" s="4">
        <v>41487</v>
      </c>
      <c r="B82" s="1">
        <v>1.2383132509966543</v>
      </c>
      <c r="C82" s="1">
        <v>105.94918264951725</v>
      </c>
      <c r="D82" s="1">
        <v>106.27371881792686</v>
      </c>
      <c r="E82" s="1">
        <v>107.146876507483</v>
      </c>
      <c r="F82" s="1">
        <v>101.65796381855918</v>
      </c>
      <c r="I82" s="1">
        <v>23.227859539999997</v>
      </c>
      <c r="J82" s="2">
        <v>227.97509934999994</v>
      </c>
      <c r="K82" s="1">
        <f t="shared" si="0"/>
        <v>-204.74723980999994</v>
      </c>
      <c r="L82">
        <v>363</v>
      </c>
      <c r="O82" s="1"/>
    </row>
    <row r="83" spans="1:15" x14ac:dyDescent="0.35">
      <c r="A83" s="4">
        <v>41518</v>
      </c>
      <c r="B83" s="1">
        <v>0.22116721429878794</v>
      </c>
      <c r="C83" s="1">
        <v>105.66372415583676</v>
      </c>
      <c r="D83" s="1">
        <v>106.18874112011773</v>
      </c>
      <c r="E83" s="1">
        <v>106.54267397629036</v>
      </c>
      <c r="F83" s="1">
        <v>101.85334898839177</v>
      </c>
      <c r="I83" s="1">
        <v>24.877953480000002</v>
      </c>
      <c r="J83" s="2">
        <v>210.38523657999986</v>
      </c>
      <c r="K83" s="1">
        <f t="shared" si="0"/>
        <v>-185.50728309999985</v>
      </c>
      <c r="L83">
        <v>366</v>
      </c>
      <c r="O83" s="1"/>
    </row>
    <row r="84" spans="1:15" x14ac:dyDescent="0.35">
      <c r="A84" s="4">
        <v>41548</v>
      </c>
      <c r="B84" s="1">
        <v>0.23316838941131834</v>
      </c>
      <c r="C84" s="1">
        <v>106.63853389923921</v>
      </c>
      <c r="D84" s="1">
        <v>107.21259157579078</v>
      </c>
      <c r="E84" s="1">
        <v>107.45949264840115</v>
      </c>
      <c r="F84" s="1">
        <v>101.94297481788898</v>
      </c>
      <c r="I84" s="1">
        <v>26.198217279999994</v>
      </c>
      <c r="J84" s="2">
        <v>218.81438584000011</v>
      </c>
      <c r="K84" s="1">
        <f t="shared" si="0"/>
        <v>-192.61616856000012</v>
      </c>
      <c r="L84">
        <v>367</v>
      </c>
      <c r="O84" s="1"/>
    </row>
    <row r="85" spans="1:15" x14ac:dyDescent="0.35">
      <c r="A85" s="4">
        <v>41579</v>
      </c>
      <c r="B85" s="1">
        <v>0.78649272518190116</v>
      </c>
      <c r="C85" s="1">
        <v>107.02295189287653</v>
      </c>
      <c r="D85" s="1">
        <v>107.66441807787929</v>
      </c>
      <c r="E85" s="1">
        <v>107.7937837626242</v>
      </c>
      <c r="F85" s="1">
        <v>101.92919751953153</v>
      </c>
      <c r="I85" s="1">
        <v>21.824883029999938</v>
      </c>
      <c r="J85" s="2">
        <v>206.03897572999995</v>
      </c>
      <c r="K85" s="1">
        <f t="shared" si="0"/>
        <v>-184.21409270000001</v>
      </c>
      <c r="L85">
        <v>369</v>
      </c>
      <c r="O85" s="1"/>
    </row>
    <row r="86" spans="1:15" x14ac:dyDescent="0.35">
      <c r="A86" s="4">
        <v>41609</v>
      </c>
      <c r="B86" s="1">
        <v>0.50839023572561359</v>
      </c>
      <c r="C86" s="1">
        <v>107.22771510019378</v>
      </c>
      <c r="D86" s="1">
        <v>107.65861933965788</v>
      </c>
      <c r="E86" s="1">
        <v>107.76581956245894</v>
      </c>
      <c r="F86" s="1">
        <v>102.11292091088502</v>
      </c>
      <c r="I86" s="1">
        <v>22.018982180000023</v>
      </c>
      <c r="J86" s="2">
        <v>223.47622359000025</v>
      </c>
      <c r="K86" s="1">
        <f t="shared" si="0"/>
        <v>-201.45724141000022</v>
      </c>
      <c r="L86">
        <v>374</v>
      </c>
      <c r="O86" s="1"/>
    </row>
    <row r="87" spans="1:15" x14ac:dyDescent="0.35">
      <c r="A87" s="4">
        <v>41640</v>
      </c>
      <c r="B87" s="1">
        <v>0.22339760299681188</v>
      </c>
      <c r="C87" s="1">
        <v>108.04480245469937</v>
      </c>
      <c r="D87" s="1">
        <v>107.83672850181885</v>
      </c>
      <c r="E87" s="1">
        <v>109.06858764350471</v>
      </c>
      <c r="F87" s="1">
        <v>102.37712515893121</v>
      </c>
      <c r="G87" s="2">
        <v>41.572256871211749</v>
      </c>
      <c r="H87" s="2">
        <v>18.239976724136302</v>
      </c>
      <c r="I87" s="1">
        <v>20.514752840000007</v>
      </c>
      <c r="J87" s="2">
        <v>129.85299425000005</v>
      </c>
      <c r="K87" s="1">
        <f t="shared" si="0"/>
        <v>-109.33824141000005</v>
      </c>
      <c r="L87">
        <v>367</v>
      </c>
      <c r="O87" s="1"/>
    </row>
    <row r="88" spans="1:15" x14ac:dyDescent="0.35">
      <c r="A88" s="4">
        <v>41671</v>
      </c>
      <c r="B88" s="1">
        <v>0.13691061880281552</v>
      </c>
      <c r="C88" s="1">
        <v>107.75340463430703</v>
      </c>
      <c r="D88" s="1">
        <v>107.58053219390499</v>
      </c>
      <c r="E88" s="1">
        <v>108.63896163884903</v>
      </c>
      <c r="F88" s="1">
        <v>102.39197667291415</v>
      </c>
      <c r="G88" s="2">
        <v>42.859515490842952</v>
      </c>
      <c r="H88" s="2">
        <v>15.159703528434314</v>
      </c>
      <c r="I88" s="1">
        <v>22.072007409999991</v>
      </c>
      <c r="J88" s="2">
        <v>158.28512482000002</v>
      </c>
      <c r="K88" s="1">
        <f t="shared" si="0"/>
        <v>-136.21311741000002</v>
      </c>
      <c r="L88">
        <v>366</v>
      </c>
      <c r="O88" s="1"/>
    </row>
    <row r="89" spans="1:15" x14ac:dyDescent="0.35">
      <c r="A89" s="4">
        <v>41699</v>
      </c>
      <c r="B89" s="1">
        <v>0.26951725683927918</v>
      </c>
      <c r="C89" s="1">
        <v>107.55915432856574</v>
      </c>
      <c r="D89" s="1">
        <v>107.54843825608538</v>
      </c>
      <c r="E89" s="1">
        <v>108.1112122648274</v>
      </c>
      <c r="F89" s="1">
        <v>102.53726297047376</v>
      </c>
      <c r="G89" s="2">
        <v>49.725246950049282</v>
      </c>
      <c r="H89" s="2">
        <v>9.3305650323314087</v>
      </c>
      <c r="I89" s="1">
        <v>23.130347530000009</v>
      </c>
      <c r="J89" s="2">
        <v>202.42011921999989</v>
      </c>
      <c r="K89" s="1">
        <f t="shared" si="0"/>
        <v>-179.2897716899999</v>
      </c>
      <c r="L89">
        <v>382</v>
      </c>
      <c r="O89" s="1"/>
    </row>
    <row r="90" spans="1:15" x14ac:dyDescent="0.35">
      <c r="A90" s="4">
        <v>41730</v>
      </c>
      <c r="B90" s="1">
        <v>0.2602168007506549</v>
      </c>
      <c r="C90" s="1">
        <v>106.4696210611683</v>
      </c>
      <c r="D90" s="1">
        <v>106.64276136021702</v>
      </c>
      <c r="E90" s="1">
        <v>107.04286489419417</v>
      </c>
      <c r="F90" s="1">
        <v>102.39118463683754</v>
      </c>
      <c r="G90" s="2">
        <v>49.08085970204808</v>
      </c>
      <c r="H90" s="2">
        <v>-19.118472528906729</v>
      </c>
      <c r="I90" s="1">
        <v>24.454912980000003</v>
      </c>
      <c r="J90" s="2">
        <v>205.82861828</v>
      </c>
      <c r="K90" s="1">
        <f t="shared" si="0"/>
        <v>-181.37370529999998</v>
      </c>
      <c r="L90">
        <v>443</v>
      </c>
      <c r="O90" s="1"/>
    </row>
    <row r="91" spans="1:15" x14ac:dyDescent="0.35">
      <c r="A91" s="4">
        <v>41760</v>
      </c>
      <c r="B91" s="1">
        <v>0.51352222911533829</v>
      </c>
      <c r="C91" s="1">
        <v>106.07827062751288</v>
      </c>
      <c r="D91" s="1">
        <v>106.34566684953013</v>
      </c>
      <c r="E91" s="1">
        <v>107.00283657958633</v>
      </c>
      <c r="F91" s="1">
        <v>102.26657314169711</v>
      </c>
      <c r="G91" s="2">
        <v>53.940862556013464</v>
      </c>
      <c r="H91" s="2">
        <v>5.4442510103281379</v>
      </c>
      <c r="I91" s="1">
        <v>23.686736509999989</v>
      </c>
      <c r="J91" s="2">
        <v>228.71992863000014</v>
      </c>
      <c r="K91" s="1">
        <f t="shared" si="0"/>
        <v>-205.03319212000014</v>
      </c>
      <c r="L91">
        <v>442</v>
      </c>
      <c r="O91" s="1"/>
    </row>
    <row r="92" spans="1:15" x14ac:dyDescent="0.35">
      <c r="A92" s="4">
        <v>41791</v>
      </c>
      <c r="B92" s="1">
        <v>0.39042005959217363</v>
      </c>
      <c r="C92" s="1">
        <v>106.3460837304868</v>
      </c>
      <c r="D92" s="1">
        <v>106.80044408271945</v>
      </c>
      <c r="E92" s="1">
        <v>107.07403300137017</v>
      </c>
      <c r="F92" s="1">
        <v>102.21853459118324</v>
      </c>
      <c r="G92" s="2">
        <v>53.727728063943104</v>
      </c>
      <c r="H92" s="2">
        <v>10.05952278428763</v>
      </c>
      <c r="I92" s="1">
        <v>27.151371739999988</v>
      </c>
      <c r="J92" s="2">
        <v>215.7768863299998</v>
      </c>
      <c r="K92" s="1">
        <f t="shared" si="0"/>
        <v>-188.6255145899998</v>
      </c>
      <c r="L92">
        <v>445</v>
      </c>
      <c r="O92" s="1"/>
    </row>
    <row r="93" spans="1:15" x14ac:dyDescent="0.35">
      <c r="A93" s="4">
        <v>41821</v>
      </c>
      <c r="B93" s="1">
        <v>0.79557161344645522</v>
      </c>
      <c r="C93" s="1">
        <v>106.47785706533604</v>
      </c>
      <c r="D93" s="1">
        <v>106.79227026626957</v>
      </c>
      <c r="E93" s="1">
        <v>107.63300417133092</v>
      </c>
      <c r="F93" s="1">
        <v>102.19596293638298</v>
      </c>
      <c r="G93" s="2">
        <v>51.495124101416174</v>
      </c>
      <c r="H93" s="2">
        <v>26.370165689994018</v>
      </c>
      <c r="I93" s="1">
        <v>34.044762170000013</v>
      </c>
      <c r="J93" s="2">
        <v>237.74980888000027</v>
      </c>
      <c r="K93" s="1">
        <f t="shared" si="0"/>
        <v>-203.70504671000026</v>
      </c>
      <c r="L93">
        <v>440</v>
      </c>
      <c r="O93" s="1"/>
    </row>
    <row r="94" spans="1:15" x14ac:dyDescent="0.35">
      <c r="A94" s="4">
        <v>41852</v>
      </c>
      <c r="B94" s="1">
        <v>0.93853466465910174</v>
      </c>
      <c r="C94" s="1">
        <v>106.56459017559899</v>
      </c>
      <c r="D94" s="1">
        <v>107.15431030538242</v>
      </c>
      <c r="E94" s="1">
        <v>107.61055064876982</v>
      </c>
      <c r="F94" s="1">
        <v>102.12233285834498</v>
      </c>
      <c r="G94" s="2">
        <v>49.517025848290828</v>
      </c>
      <c r="H94" s="2">
        <v>27.421844331312244</v>
      </c>
      <c r="I94" s="1">
        <v>33.063696829999998</v>
      </c>
      <c r="J94" s="2">
        <v>241.57052085999976</v>
      </c>
      <c r="K94" s="1">
        <f t="shared" si="0"/>
        <v>-208.50682402999976</v>
      </c>
      <c r="L94">
        <v>436</v>
      </c>
      <c r="O94" s="1"/>
    </row>
    <row r="95" spans="1:15" x14ac:dyDescent="0.35">
      <c r="A95" s="4">
        <v>41883</v>
      </c>
      <c r="B95" s="1">
        <v>1.3</v>
      </c>
      <c r="C95" s="1">
        <v>106.44206988815849</v>
      </c>
      <c r="D95" s="1">
        <v>107.3164476077047</v>
      </c>
      <c r="E95" s="1">
        <v>107.5257075697055</v>
      </c>
      <c r="F95" s="1">
        <v>102.000652643441</v>
      </c>
      <c r="G95" s="2">
        <v>56.776941827704675</v>
      </c>
      <c r="H95" s="2">
        <v>28.828233413492626</v>
      </c>
      <c r="I95" s="1">
        <v>29.530602149999993</v>
      </c>
      <c r="J95" s="2">
        <v>246.89245399000015</v>
      </c>
      <c r="K95" s="1">
        <f t="shared" si="0"/>
        <v>-217.36185184000016</v>
      </c>
      <c r="L95">
        <v>436</v>
      </c>
      <c r="O95" s="1"/>
    </row>
    <row r="96" spans="1:15" x14ac:dyDescent="0.35">
      <c r="A96" s="4">
        <v>41913</v>
      </c>
      <c r="B96" s="1">
        <v>0.64551453724786256</v>
      </c>
      <c r="C96" s="1">
        <v>106.38345359424656</v>
      </c>
      <c r="D96" s="1">
        <v>107.528616632379</v>
      </c>
      <c r="E96" s="1">
        <v>107.62767264998423</v>
      </c>
      <c r="F96" s="1">
        <v>101.96319999203661</v>
      </c>
      <c r="G96" s="2">
        <v>64.827307678943413</v>
      </c>
      <c r="H96" s="2">
        <v>18.557568397427737</v>
      </c>
      <c r="I96" s="1">
        <v>29.651398889999996</v>
      </c>
      <c r="J96" s="2">
        <v>234.98638861999984</v>
      </c>
      <c r="K96" s="1">
        <f t="shared" si="0"/>
        <v>-205.33498972999985</v>
      </c>
      <c r="L96">
        <v>435</v>
      </c>
      <c r="O96" s="1"/>
    </row>
    <row r="97" spans="1:15" x14ac:dyDescent="0.35">
      <c r="A97" s="4">
        <v>41944</v>
      </c>
      <c r="B97" s="1">
        <v>8.1472201159854762E-2</v>
      </c>
      <c r="C97" s="1">
        <v>106.0515948222189</v>
      </c>
      <c r="D97" s="1">
        <v>107.36718065933249</v>
      </c>
      <c r="E97" s="1">
        <v>107.50375883535719</v>
      </c>
      <c r="F97" s="1">
        <v>101.825916170543</v>
      </c>
      <c r="G97" s="2">
        <v>50.258272307594154</v>
      </c>
      <c r="H97" s="2">
        <v>19.572395378909818</v>
      </c>
      <c r="I97" s="1">
        <v>30.808801270000004</v>
      </c>
      <c r="J97" s="2">
        <v>211.23393108999971</v>
      </c>
      <c r="K97" s="1">
        <f t="shared" si="0"/>
        <v>-180.42512981999971</v>
      </c>
      <c r="L97">
        <v>443</v>
      </c>
      <c r="O97" s="1"/>
    </row>
    <row r="98" spans="1:15" x14ac:dyDescent="0.35">
      <c r="A98" s="4">
        <v>41974</v>
      </c>
      <c r="B98" s="1">
        <v>-0.44063277014070934</v>
      </c>
      <c r="C98" s="1">
        <v>106.00685267553392</v>
      </c>
      <c r="D98" s="1">
        <v>107.3882478749545</v>
      </c>
      <c r="E98" s="1">
        <v>107.34826416228684</v>
      </c>
      <c r="F98" s="1">
        <v>101.94185342426034</v>
      </c>
      <c r="G98" s="2">
        <v>58.497738784044742</v>
      </c>
      <c r="H98" s="2">
        <v>-8.6840203233236917</v>
      </c>
      <c r="I98" s="1">
        <v>26.433763880000015</v>
      </c>
      <c r="J98" s="2">
        <v>225.01988019000009</v>
      </c>
      <c r="K98" s="1">
        <f t="shared" si="0"/>
        <v>-198.58611631000008</v>
      </c>
      <c r="L98">
        <v>446</v>
      </c>
      <c r="O98" s="1"/>
    </row>
    <row r="99" spans="1:15" x14ac:dyDescent="0.35">
      <c r="A99" s="4">
        <v>42005</v>
      </c>
      <c r="B99" s="1">
        <v>-0.59831130876864336</v>
      </c>
      <c r="C99" s="1">
        <v>106.3069327578647</v>
      </c>
      <c r="D99" s="1">
        <v>108.22289209787989</v>
      </c>
      <c r="E99" s="1">
        <v>108.92369763854275</v>
      </c>
      <c r="F99" s="1">
        <v>101.24035774186879</v>
      </c>
      <c r="G99" s="2">
        <v>47.150059044707469</v>
      </c>
      <c r="H99" s="2">
        <v>29.906737912774201</v>
      </c>
      <c r="I99" s="1">
        <v>26.354963130000002</v>
      </c>
      <c r="J99" s="2">
        <v>137.15601679999997</v>
      </c>
      <c r="K99" s="1">
        <f t="shared" si="0"/>
        <v>-110.80105366999997</v>
      </c>
      <c r="L99">
        <v>439</v>
      </c>
      <c r="O99" s="1"/>
    </row>
    <row r="100" spans="1:15" x14ac:dyDescent="0.35">
      <c r="A100" s="4">
        <v>42036</v>
      </c>
      <c r="B100" s="1">
        <v>-0.31058111698794733</v>
      </c>
      <c r="C100" s="1">
        <v>105.95656467137475</v>
      </c>
      <c r="D100" s="1">
        <v>107.87148258731769</v>
      </c>
      <c r="E100" s="1">
        <v>108.63736237532866</v>
      </c>
      <c r="F100" s="1">
        <v>101.22413363221341</v>
      </c>
      <c r="G100" s="2">
        <v>47.037496207274629</v>
      </c>
      <c r="H100" s="2">
        <v>21.870790799792644</v>
      </c>
      <c r="I100" s="1">
        <v>23.336125369999998</v>
      </c>
      <c r="J100" s="2">
        <v>163.88094153000003</v>
      </c>
      <c r="K100" s="1">
        <f t="shared" si="0"/>
        <v>-140.54481616000004</v>
      </c>
      <c r="L100">
        <v>438</v>
      </c>
      <c r="O100" s="1"/>
    </row>
    <row r="101" spans="1:15" x14ac:dyDescent="0.35">
      <c r="A101" s="4">
        <v>42064</v>
      </c>
      <c r="B101" s="1">
        <v>-0.37957619374782325</v>
      </c>
      <c r="C101" s="1">
        <v>105.08233086656874</v>
      </c>
      <c r="D101" s="1">
        <v>107.33371928009491</v>
      </c>
      <c r="E101" s="1">
        <v>107.81454169716488</v>
      </c>
      <c r="F101" s="1">
        <v>100.86810709046301</v>
      </c>
      <c r="G101" s="2">
        <v>52.952248107249524</v>
      </c>
      <c r="H101" s="2">
        <v>30.267434850177786</v>
      </c>
      <c r="I101" s="1">
        <v>26.332644159999994</v>
      </c>
      <c r="J101" s="2">
        <v>198.18696719799988</v>
      </c>
      <c r="K101" s="1">
        <f t="shared" si="0"/>
        <v>-171.85432303799988</v>
      </c>
      <c r="L101">
        <v>444</v>
      </c>
      <c r="O101" s="1"/>
    </row>
    <row r="102" spans="1:15" x14ac:dyDescent="0.35">
      <c r="A102" s="4">
        <v>42095</v>
      </c>
      <c r="B102" s="1">
        <v>-0.41857449209953757</v>
      </c>
      <c r="C102" s="1">
        <v>103.85953936421485</v>
      </c>
      <c r="D102" s="1">
        <v>106.0976795676924</v>
      </c>
      <c r="E102" s="1">
        <v>106.57814916360418</v>
      </c>
      <c r="F102" s="1">
        <v>100.85146198208793</v>
      </c>
      <c r="G102" s="2">
        <v>52.827340055600523</v>
      </c>
      <c r="H102" s="2">
        <v>46.907225074232606</v>
      </c>
      <c r="I102" s="1">
        <v>27.707731150000015</v>
      </c>
      <c r="J102" s="2">
        <v>223.89005322699995</v>
      </c>
      <c r="K102" s="1">
        <f t="shared" si="0"/>
        <v>-196.18232207699992</v>
      </c>
      <c r="L102">
        <v>442</v>
      </c>
      <c r="O102" s="1"/>
    </row>
    <row r="103" spans="1:15" x14ac:dyDescent="0.35">
      <c r="A103" s="4">
        <v>42125</v>
      </c>
      <c r="B103" s="1">
        <v>-0.46110467854975923</v>
      </c>
      <c r="C103" s="1">
        <v>103.95041068201859</v>
      </c>
      <c r="D103" s="1">
        <v>106.18332148146079</v>
      </c>
      <c r="E103" s="1">
        <v>106.29248678161778</v>
      </c>
      <c r="F103" s="1">
        <v>101.04993799350193</v>
      </c>
      <c r="G103" s="2">
        <v>58.303227121074229</v>
      </c>
      <c r="H103" s="2">
        <v>29.745002187609764</v>
      </c>
      <c r="I103" s="1">
        <v>27.333196689999994</v>
      </c>
      <c r="J103" s="2">
        <v>237.715784848</v>
      </c>
      <c r="K103" s="1">
        <f t="shared" si="0"/>
        <v>-210.382588158</v>
      </c>
      <c r="L103">
        <v>457</v>
      </c>
      <c r="O103" s="1"/>
    </row>
    <row r="104" spans="1:15" x14ac:dyDescent="0.35">
      <c r="A104" s="4">
        <v>42156</v>
      </c>
      <c r="B104" s="1">
        <v>-0.43389758771759546</v>
      </c>
      <c r="C104" s="1">
        <v>104.1456451856498</v>
      </c>
      <c r="D104" s="1">
        <v>106.17950995010344</v>
      </c>
      <c r="E104" s="1">
        <v>106.42899064415229</v>
      </c>
      <c r="F104" s="1">
        <v>101.18980562811947</v>
      </c>
      <c r="G104" s="2">
        <v>58.630123334720075</v>
      </c>
      <c r="H104" s="2">
        <v>3.0069533537775315</v>
      </c>
      <c r="I104" s="1">
        <v>30.444803089999994</v>
      </c>
      <c r="J104" s="2">
        <v>238.09782311900005</v>
      </c>
      <c r="K104" s="1">
        <f t="shared" ref="K104:K167" si="1">I104-J104</f>
        <v>-207.65302002900006</v>
      </c>
      <c r="L104">
        <v>465</v>
      </c>
      <c r="O104" s="1"/>
    </row>
    <row r="105" spans="1:15" x14ac:dyDescent="0.35">
      <c r="A105" s="4">
        <v>42186</v>
      </c>
      <c r="B105" s="1">
        <v>-0.8</v>
      </c>
      <c r="C105" s="1">
        <v>104.18781284766382</v>
      </c>
      <c r="D105" s="1">
        <v>106.24823639328636</v>
      </c>
      <c r="E105" s="1">
        <v>106.73937572307921</v>
      </c>
      <c r="F105" s="1">
        <v>101.09759867002086</v>
      </c>
      <c r="G105" s="2">
        <v>59.536020194085964</v>
      </c>
      <c r="H105" s="2">
        <v>29.751797231296681</v>
      </c>
      <c r="I105" s="1">
        <v>36.632908960000009</v>
      </c>
      <c r="J105" s="2">
        <v>246.03317217199992</v>
      </c>
      <c r="K105" s="1">
        <f t="shared" si="1"/>
        <v>-209.40026321199991</v>
      </c>
      <c r="L105">
        <v>461</v>
      </c>
      <c r="O105" s="1"/>
    </row>
    <row r="106" spans="1:15" x14ac:dyDescent="0.35">
      <c r="A106" s="4">
        <v>42217</v>
      </c>
      <c r="B106" s="1">
        <v>-0.68835110657970233</v>
      </c>
      <c r="C106" s="1">
        <v>104.64646924934567</v>
      </c>
      <c r="D106" s="1">
        <v>105.9581063227353</v>
      </c>
      <c r="E106" s="1">
        <v>106.88173025459218</v>
      </c>
      <c r="F106" s="1">
        <v>101.5517086387202</v>
      </c>
      <c r="G106" s="2">
        <v>55.574462254261888</v>
      </c>
      <c r="H106" s="2">
        <v>46.298593607533483</v>
      </c>
      <c r="I106" s="1">
        <v>28.312151720000003</v>
      </c>
      <c r="J106" s="2">
        <v>245.25139535299991</v>
      </c>
      <c r="K106" s="1">
        <f t="shared" si="1"/>
        <v>-216.9392436329999</v>
      </c>
      <c r="L106">
        <v>457</v>
      </c>
      <c r="O106" s="1"/>
    </row>
    <row r="107" spans="1:15" x14ac:dyDescent="0.35">
      <c r="A107" s="4">
        <v>42248</v>
      </c>
      <c r="B107" s="1">
        <v>-1.222734052464304</v>
      </c>
      <c r="C107" s="1">
        <v>104.52114413655865</v>
      </c>
      <c r="D107" s="1">
        <v>105.52257196478163</v>
      </c>
      <c r="E107" s="1">
        <v>106.3188567484229</v>
      </c>
      <c r="F107" s="1">
        <v>101.89124450905544</v>
      </c>
      <c r="G107" s="2">
        <v>61.754770846996159</v>
      </c>
      <c r="H107" s="2">
        <v>30.719422815583631</v>
      </c>
      <c r="I107" s="1">
        <v>24.417168240000024</v>
      </c>
      <c r="J107" s="2">
        <v>230.84090441600006</v>
      </c>
      <c r="K107" s="1">
        <f t="shared" si="1"/>
        <v>-206.42373617600003</v>
      </c>
      <c r="L107">
        <v>453</v>
      </c>
      <c r="O107" s="1"/>
    </row>
    <row r="108" spans="1:15" x14ac:dyDescent="0.35">
      <c r="A108" s="4">
        <v>42278</v>
      </c>
      <c r="B108" s="1">
        <v>-0.7</v>
      </c>
      <c r="C108" s="1">
        <v>104.9177369806406</v>
      </c>
      <c r="D108" s="1">
        <v>106.25762062633322</v>
      </c>
      <c r="E108" s="1">
        <v>106.82078160931599</v>
      </c>
      <c r="F108" s="1">
        <v>101.80400577802091</v>
      </c>
      <c r="G108" s="2">
        <v>58.043196705360607</v>
      </c>
      <c r="H108" s="2">
        <v>32.88557961641731</v>
      </c>
      <c r="I108" s="1">
        <v>27.127656959999996</v>
      </c>
      <c r="J108" s="2">
        <v>241.79219010099996</v>
      </c>
      <c r="K108" s="1">
        <f t="shared" si="1"/>
        <v>-214.66453314099996</v>
      </c>
      <c r="L108">
        <v>462</v>
      </c>
      <c r="O108" s="1"/>
    </row>
    <row r="109" spans="1:15" x14ac:dyDescent="0.35">
      <c r="A109" s="4">
        <v>42309</v>
      </c>
      <c r="B109" s="1">
        <v>-0.33011629260325037</v>
      </c>
      <c r="C109" s="1">
        <v>104.54277030725039</v>
      </c>
      <c r="D109" s="1">
        <v>106.26280444378489</v>
      </c>
      <c r="E109" s="1">
        <v>107.05998197679034</v>
      </c>
      <c r="F109" s="1">
        <v>101.33352555454493</v>
      </c>
      <c r="G109" s="2">
        <v>54.26163939426575</v>
      </c>
      <c r="H109" s="2">
        <v>9.1117750885328359</v>
      </c>
      <c r="I109" s="1">
        <v>23.720980189999977</v>
      </c>
      <c r="J109" s="2">
        <v>218.17723502000035</v>
      </c>
      <c r="K109" s="1">
        <f t="shared" si="1"/>
        <v>-194.45625483000038</v>
      </c>
      <c r="L109">
        <v>465</v>
      </c>
      <c r="O109" s="1"/>
    </row>
    <row r="110" spans="1:15" x14ac:dyDescent="0.35">
      <c r="A110" s="4">
        <v>42339</v>
      </c>
      <c r="B110" s="1">
        <v>-0.2</v>
      </c>
      <c r="C110" s="1">
        <v>104.78367445894395</v>
      </c>
      <c r="D110" s="1">
        <v>106.38946205765134</v>
      </c>
      <c r="E110" s="1">
        <v>107.00220348314626</v>
      </c>
      <c r="F110" s="1">
        <v>101.58418308868869</v>
      </c>
      <c r="G110" s="2">
        <v>59.416323443253816</v>
      </c>
      <c r="H110" s="2">
        <v>-1.6232123775589868</v>
      </c>
      <c r="I110" s="1">
        <v>23.573373360000062</v>
      </c>
      <c r="J110" s="2">
        <v>253.67071463000002</v>
      </c>
      <c r="K110" s="1">
        <f t="shared" si="1"/>
        <v>-230.09734126999996</v>
      </c>
      <c r="L110">
        <v>466</v>
      </c>
      <c r="O110" s="1"/>
    </row>
    <row r="111" spans="1:15" x14ac:dyDescent="0.35">
      <c r="A111" s="4">
        <v>42370</v>
      </c>
      <c r="B111" s="1">
        <v>0.12276651989209597</v>
      </c>
      <c r="C111" s="1">
        <v>105.46040624959038</v>
      </c>
      <c r="D111" s="1">
        <v>106.90548381815941</v>
      </c>
      <c r="E111" s="1">
        <v>107.53721450056197</v>
      </c>
      <c r="F111" s="1">
        <v>101.78475012234543</v>
      </c>
      <c r="G111" s="2">
        <v>42.621325906893425</v>
      </c>
      <c r="H111" s="2">
        <v>6.049825754622967</v>
      </c>
      <c r="I111" s="1">
        <v>22.275547533668757</v>
      </c>
      <c r="J111" s="2">
        <v>132.62635434536872</v>
      </c>
      <c r="K111" s="1">
        <f t="shared" si="1"/>
        <v>-110.35080681169997</v>
      </c>
      <c r="L111">
        <v>465</v>
      </c>
      <c r="O111" s="1"/>
    </row>
    <row r="112" spans="1:15" x14ac:dyDescent="0.35">
      <c r="A112" s="4">
        <v>42401</v>
      </c>
      <c r="B112" s="1">
        <v>0</v>
      </c>
      <c r="C112" s="1">
        <v>105.67477203123767</v>
      </c>
      <c r="D112" s="1">
        <v>107.02040888685437</v>
      </c>
      <c r="E112" s="1">
        <v>107.50819134838507</v>
      </c>
      <c r="F112" s="1">
        <v>101.94076617013475</v>
      </c>
      <c r="G112" s="2">
        <v>47.989455028858984</v>
      </c>
      <c r="H112" s="2">
        <v>23.732481885512055</v>
      </c>
      <c r="I112" s="1">
        <v>24.082410439129205</v>
      </c>
      <c r="J112" s="2">
        <v>193.67592819420065</v>
      </c>
      <c r="K112" s="1">
        <f t="shared" si="1"/>
        <v>-169.59351775507145</v>
      </c>
      <c r="L112">
        <v>467</v>
      </c>
      <c r="O112" s="1"/>
    </row>
    <row r="113" spans="1:15" x14ac:dyDescent="0.35">
      <c r="A113" s="4">
        <v>42430</v>
      </c>
      <c r="B113" s="1">
        <v>5.0302587585875358E-2</v>
      </c>
      <c r="C113" s="1">
        <v>105.37077708297022</v>
      </c>
      <c r="D113" s="1">
        <v>106.94549342561145</v>
      </c>
      <c r="E113" s="1">
        <v>106.55571488419524</v>
      </c>
      <c r="F113" s="1">
        <v>101.78197509015152</v>
      </c>
      <c r="G113" s="2">
        <v>53.659962128902301</v>
      </c>
      <c r="H113" s="2">
        <v>26.281980890703228</v>
      </c>
      <c r="I113" s="1">
        <v>25.583238819323995</v>
      </c>
      <c r="J113" s="2">
        <v>235.52048073588418</v>
      </c>
      <c r="K113" s="1">
        <f t="shared" si="1"/>
        <v>-209.9372419165602</v>
      </c>
      <c r="L113">
        <v>464</v>
      </c>
      <c r="O113" s="1"/>
    </row>
    <row r="114" spans="1:15" x14ac:dyDescent="0.35">
      <c r="A114" s="4">
        <v>42461</v>
      </c>
      <c r="B114" s="1">
        <v>-0.10346197004150781</v>
      </c>
      <c r="C114" s="1">
        <v>103.93026119854682</v>
      </c>
      <c r="D114" s="1">
        <v>105.54440421878184</v>
      </c>
      <c r="E114" s="1">
        <v>105.41142560048706</v>
      </c>
      <c r="F114" s="1">
        <v>101.82312755104232</v>
      </c>
      <c r="G114" s="2">
        <v>58.056011581084384</v>
      </c>
      <c r="H114" s="2">
        <v>15.82666456252454</v>
      </c>
      <c r="I114" s="1">
        <v>23.026931489327126</v>
      </c>
      <c r="J114" s="2">
        <v>250.67240535958365</v>
      </c>
      <c r="K114" s="1">
        <f t="shared" si="1"/>
        <v>-227.64547387025652</v>
      </c>
      <c r="L114">
        <v>465</v>
      </c>
      <c r="O114" s="1"/>
    </row>
    <row r="115" spans="1:15" x14ac:dyDescent="0.35">
      <c r="A115" s="4">
        <v>42491</v>
      </c>
      <c r="B115" s="1">
        <v>-0.12753786465513883</v>
      </c>
      <c r="C115" s="1">
        <v>103.86909801380379</v>
      </c>
      <c r="D115" s="1">
        <v>105.36848836099205</v>
      </c>
      <c r="E115" s="1">
        <v>105.00925434161756</v>
      </c>
      <c r="F115" s="1">
        <v>102.01598870036163</v>
      </c>
      <c r="G115" s="2">
        <v>57.331416632838291</v>
      </c>
      <c r="H115" s="2">
        <v>19.130417813171633</v>
      </c>
      <c r="I115" s="1">
        <v>27.098208343848171</v>
      </c>
      <c r="J115" s="2">
        <v>238.03963601560883</v>
      </c>
      <c r="K115" s="1">
        <f t="shared" si="1"/>
        <v>-210.94142767176066</v>
      </c>
      <c r="L115">
        <v>469</v>
      </c>
      <c r="O115" s="1"/>
    </row>
    <row r="116" spans="1:15" x14ac:dyDescent="0.35">
      <c r="A116" s="4">
        <v>42522</v>
      </c>
      <c r="B116" s="1">
        <v>-0.29580523185299512</v>
      </c>
      <c r="C116" s="1">
        <v>103.71841120420434</v>
      </c>
      <c r="D116" s="1">
        <v>105.77361531173716</v>
      </c>
      <c r="E116" s="1">
        <v>104.70693272428136</v>
      </c>
      <c r="F116" s="1">
        <v>101.92659374069899</v>
      </c>
      <c r="G116" s="2">
        <v>62.167321416372282</v>
      </c>
      <c r="H116" s="2">
        <v>-5.3721880064401732</v>
      </c>
      <c r="I116" s="1">
        <v>30.338722539039793</v>
      </c>
      <c r="J116" s="2">
        <v>247.22212018694677</v>
      </c>
      <c r="K116" s="1">
        <f t="shared" si="1"/>
        <v>-216.88339764790697</v>
      </c>
      <c r="L116">
        <v>471</v>
      </c>
      <c r="O116" s="1"/>
    </row>
    <row r="117" spans="1:15" x14ac:dyDescent="0.35">
      <c r="A117" s="4">
        <v>42552</v>
      </c>
      <c r="B117" s="1">
        <v>-3.3219139946510268E-2</v>
      </c>
      <c r="C117" s="1">
        <v>103.85528271871959</v>
      </c>
      <c r="D117" s="1">
        <v>105.79994095088483</v>
      </c>
      <c r="E117" s="1">
        <v>105.13935583786969</v>
      </c>
      <c r="F117" s="1">
        <v>101.86340297642485</v>
      </c>
      <c r="G117" s="2">
        <v>58.321284608975759</v>
      </c>
      <c r="H117" s="2">
        <v>36.404074504012669</v>
      </c>
      <c r="I117" s="1">
        <v>30.397135340427326</v>
      </c>
      <c r="J117" s="2">
        <v>240.94894020021638</v>
      </c>
      <c r="K117" s="1">
        <f t="shared" si="1"/>
        <v>-210.55180485978906</v>
      </c>
      <c r="L117">
        <v>468</v>
      </c>
      <c r="O117" s="1"/>
    </row>
    <row r="118" spans="1:15" x14ac:dyDescent="0.35">
      <c r="A118" s="4">
        <v>42583</v>
      </c>
      <c r="B118" s="1">
        <v>3.2501696821782389E-2</v>
      </c>
      <c r="C118" s="1">
        <v>103.98630812349221</v>
      </c>
      <c r="D118" s="1">
        <v>105.57064119139102</v>
      </c>
      <c r="E118" s="1">
        <v>105.27222266143063</v>
      </c>
      <c r="F118" s="1">
        <v>101.93102140361228</v>
      </c>
      <c r="G118" s="2">
        <v>60.398298656849207</v>
      </c>
      <c r="H118" s="2">
        <v>24.932071312742938</v>
      </c>
      <c r="I118" s="1">
        <v>21.461814350797795</v>
      </c>
      <c r="J118" s="2">
        <v>270.37833052860447</v>
      </c>
      <c r="K118" s="1">
        <f t="shared" si="1"/>
        <v>-248.91651617780667</v>
      </c>
      <c r="L118">
        <v>462</v>
      </c>
      <c r="O118" s="1"/>
    </row>
    <row r="119" spans="1:15" x14ac:dyDescent="0.35">
      <c r="A119" s="4">
        <v>42614</v>
      </c>
      <c r="B119" s="1">
        <v>0.55079618037359523</v>
      </c>
      <c r="C119" s="1">
        <v>103.94859801346549</v>
      </c>
      <c r="D119" s="1">
        <v>105.73127308460735</v>
      </c>
      <c r="E119" s="1">
        <v>105.05688176452699</v>
      </c>
      <c r="F119" s="1">
        <v>102.00625868700301</v>
      </c>
      <c r="G119" s="2">
        <v>63.98372301274857</v>
      </c>
      <c r="H119" s="2">
        <v>36.646369441180155</v>
      </c>
      <c r="I119" s="1">
        <v>21.670120904365177</v>
      </c>
      <c r="J119" s="2">
        <v>232.67578723059546</v>
      </c>
      <c r="K119" s="1">
        <f t="shared" si="1"/>
        <v>-211.00566632623028</v>
      </c>
      <c r="L119">
        <v>465</v>
      </c>
      <c r="O119" s="1"/>
    </row>
    <row r="120" spans="1:15" x14ac:dyDescent="0.35">
      <c r="A120" s="4">
        <v>42644</v>
      </c>
      <c r="B120" s="1">
        <v>0.89116942481864214</v>
      </c>
      <c r="C120" s="1">
        <v>104.88921138685795</v>
      </c>
      <c r="D120" s="1">
        <v>106.65992051291471</v>
      </c>
      <c r="E120" s="1">
        <v>105.84721556827741</v>
      </c>
      <c r="F120" s="1">
        <v>102.02480591047156</v>
      </c>
      <c r="G120" s="2">
        <v>62.065888020459845</v>
      </c>
      <c r="H120" s="2">
        <v>23.870874666700857</v>
      </c>
      <c r="I120" s="1">
        <v>27.066193032282825</v>
      </c>
      <c r="J120" s="2">
        <v>241.38863514001309</v>
      </c>
      <c r="K120" s="1">
        <f t="shared" si="1"/>
        <v>-214.32244210773027</v>
      </c>
      <c r="L120">
        <v>468</v>
      </c>
      <c r="O120" s="1"/>
    </row>
    <row r="121" spans="1:15" x14ac:dyDescent="0.35">
      <c r="A121" s="4">
        <v>42675</v>
      </c>
      <c r="B121" s="1">
        <v>0.87924473463260711</v>
      </c>
      <c r="C121" s="1">
        <v>105.58982944711661</v>
      </c>
      <c r="D121" s="1">
        <v>106.89295819956023</v>
      </c>
      <c r="E121" s="1">
        <v>105.98691695432514</v>
      </c>
      <c r="F121" s="1">
        <v>102.63650987626454</v>
      </c>
      <c r="G121" s="2">
        <v>59.364296030791124</v>
      </c>
      <c r="H121" s="2">
        <v>16.320311564248797</v>
      </c>
      <c r="I121" s="1">
        <v>32.107228585530777</v>
      </c>
      <c r="J121" s="2">
        <v>234.85909162636381</v>
      </c>
      <c r="K121" s="1">
        <f t="shared" si="1"/>
        <v>-202.75186304083303</v>
      </c>
      <c r="L121">
        <v>469</v>
      </c>
      <c r="O121" s="1"/>
    </row>
    <row r="122" spans="1:15" x14ac:dyDescent="0.35">
      <c r="A122" s="4">
        <v>42705</v>
      </c>
      <c r="B122" s="1">
        <v>1.2948399813541585</v>
      </c>
      <c r="C122" s="1">
        <v>105.1357484602363</v>
      </c>
      <c r="D122" s="1">
        <v>107.07451164932725</v>
      </c>
      <c r="E122" s="1">
        <v>105.76331709353272</v>
      </c>
      <c r="F122" s="1">
        <v>102.21847372180186</v>
      </c>
      <c r="G122" s="2">
        <v>64.998072934078493</v>
      </c>
      <c r="H122" s="2">
        <v>-3.8723174389461503</v>
      </c>
      <c r="I122" s="1">
        <v>24.519585360584642</v>
      </c>
      <c r="J122" s="2">
        <v>271.48298475075853</v>
      </c>
      <c r="K122" s="1">
        <f t="shared" si="1"/>
        <v>-246.96339939017389</v>
      </c>
      <c r="L122">
        <v>474</v>
      </c>
      <c r="O122" s="1"/>
    </row>
    <row r="123" spans="1:15" x14ac:dyDescent="0.35">
      <c r="A123" s="4">
        <v>42736</v>
      </c>
      <c r="B123" s="1">
        <v>1.6834409102693115</v>
      </c>
      <c r="C123" s="1">
        <v>106.11499401292068</v>
      </c>
      <c r="D123" s="1">
        <v>107.21192253244442</v>
      </c>
      <c r="E123" s="1">
        <v>107.38724602545082</v>
      </c>
      <c r="F123" s="1">
        <v>102.55891198067744</v>
      </c>
      <c r="G123" s="2">
        <v>48.048756458458207</v>
      </c>
      <c r="H123" s="2">
        <v>19.724658728055033</v>
      </c>
      <c r="I123" s="1">
        <v>21.447383559127164</v>
      </c>
      <c r="J123" s="2">
        <v>146.88684499912097</v>
      </c>
      <c r="K123" s="1">
        <f t="shared" si="1"/>
        <v>-125.43946143999381</v>
      </c>
      <c r="L123">
        <v>468</v>
      </c>
      <c r="O123" s="1"/>
    </row>
    <row r="124" spans="1:15" x14ac:dyDescent="0.35">
      <c r="A124" s="4">
        <v>42767</v>
      </c>
      <c r="B124" s="1">
        <v>1.6600597045648442</v>
      </c>
      <c r="C124" s="1">
        <v>106.15287911672415</v>
      </c>
      <c r="D124" s="1">
        <v>107.40912937417933</v>
      </c>
      <c r="E124" s="1">
        <v>107.13997441005991</v>
      </c>
      <c r="F124" s="1">
        <v>102.38623389406025</v>
      </c>
      <c r="G124" s="2">
        <v>50.682254268880456</v>
      </c>
      <c r="H124" s="2">
        <v>22.213697427911267</v>
      </c>
      <c r="I124" s="1">
        <v>23.696079669151413</v>
      </c>
      <c r="J124" s="2">
        <v>197.91876217164474</v>
      </c>
      <c r="K124" s="1">
        <f t="shared" si="1"/>
        <v>-174.22268250249334</v>
      </c>
      <c r="L124">
        <v>473</v>
      </c>
      <c r="O124" s="1"/>
    </row>
    <row r="125" spans="1:15" x14ac:dyDescent="0.35">
      <c r="A125" s="4">
        <v>42795</v>
      </c>
      <c r="B125" s="1">
        <v>1.5112388521654481</v>
      </c>
      <c r="C125" s="1">
        <v>105.47287241718725</v>
      </c>
      <c r="D125" s="1">
        <v>106.73873819317566</v>
      </c>
      <c r="E125" s="1">
        <v>106.37288322560904</v>
      </c>
      <c r="F125" s="1">
        <v>102.43304454543303</v>
      </c>
      <c r="G125" s="2">
        <v>64.657829794845085</v>
      </c>
      <c r="H125" s="2">
        <v>23.513795849213004</v>
      </c>
      <c r="I125" s="1">
        <v>31.260766369338285</v>
      </c>
      <c r="J125" s="2">
        <v>264.65984448213158</v>
      </c>
      <c r="K125" s="1">
        <f t="shared" si="1"/>
        <v>-233.39907811279329</v>
      </c>
      <c r="L125">
        <v>465</v>
      </c>
      <c r="O125" s="1"/>
    </row>
    <row r="126" spans="1:15" x14ac:dyDescent="0.35">
      <c r="A126" s="4">
        <v>42826</v>
      </c>
      <c r="B126" s="1">
        <v>2.213202456480758</v>
      </c>
      <c r="C126" s="1">
        <v>104.82673285587956</v>
      </c>
      <c r="D126" s="1">
        <v>106.25129755374051</v>
      </c>
      <c r="E126" s="1">
        <v>105.65691398693085</v>
      </c>
      <c r="F126" s="1">
        <v>102.43192622447749</v>
      </c>
      <c r="G126" s="2">
        <v>57.91635528458788</v>
      </c>
      <c r="H126" s="2">
        <v>31.871627631447751</v>
      </c>
      <c r="I126" s="1">
        <v>31.218528629830487</v>
      </c>
      <c r="J126" s="2">
        <v>251.89224714359887</v>
      </c>
      <c r="K126" s="1">
        <f t="shared" si="1"/>
        <v>-220.67371851376839</v>
      </c>
      <c r="L126">
        <v>474</v>
      </c>
      <c r="O126" s="1"/>
    </row>
    <row r="127" spans="1:15" x14ac:dyDescent="0.35">
      <c r="A127" s="4">
        <v>42856</v>
      </c>
      <c r="B127" s="1">
        <v>1.5492267473019155</v>
      </c>
      <c r="C127" s="1">
        <v>104.25211900805544</v>
      </c>
      <c r="D127" s="1">
        <v>105.47742579084746</v>
      </c>
      <c r="E127" s="1">
        <v>104.86222881656653</v>
      </c>
      <c r="F127" s="1">
        <v>102.54732732280618</v>
      </c>
      <c r="G127" s="2">
        <v>67.551255438312594</v>
      </c>
      <c r="H127" s="2">
        <v>18.466432827562898</v>
      </c>
      <c r="I127" s="1">
        <v>33.492319947396993</v>
      </c>
      <c r="J127" s="2">
        <v>279.32159320556912</v>
      </c>
      <c r="K127" s="1">
        <f t="shared" si="1"/>
        <v>-245.82927325817212</v>
      </c>
      <c r="L127">
        <v>476</v>
      </c>
      <c r="O127" s="1"/>
    </row>
    <row r="128" spans="1:15" x14ac:dyDescent="0.35">
      <c r="A128" s="4">
        <v>42887</v>
      </c>
      <c r="B128" s="1">
        <v>1.9211052262241282</v>
      </c>
      <c r="C128" s="1">
        <v>104.63974170791182</v>
      </c>
      <c r="D128" s="1">
        <v>106.00432395872703</v>
      </c>
      <c r="E128" s="1">
        <v>105.19014216499669</v>
      </c>
      <c r="F128" s="1">
        <v>102.56402394210278</v>
      </c>
      <c r="G128" s="2">
        <v>71.069847055125422</v>
      </c>
      <c r="H128" s="2">
        <v>33.555190919838637</v>
      </c>
      <c r="I128" s="1">
        <v>38.199084718930351</v>
      </c>
      <c r="J128" s="2">
        <v>255.70143653445143</v>
      </c>
      <c r="K128" s="1">
        <f t="shared" si="1"/>
        <v>-217.50235181552108</v>
      </c>
      <c r="L128">
        <v>477</v>
      </c>
      <c r="O128" s="1"/>
    </row>
    <row r="129" spans="1:15" x14ac:dyDescent="0.35">
      <c r="A129" s="4">
        <v>42917</v>
      </c>
      <c r="B129" s="1">
        <v>1.6859053823379924</v>
      </c>
      <c r="C129" s="1">
        <v>104.87408612506376</v>
      </c>
      <c r="D129" s="1">
        <v>106.42500385941023</v>
      </c>
      <c r="E129" s="1">
        <v>105.31593301406765</v>
      </c>
      <c r="F129" s="1">
        <v>102.63949140658522</v>
      </c>
      <c r="G129" s="2">
        <v>59.951176043568253</v>
      </c>
      <c r="H129" s="2">
        <v>31.988185909076208</v>
      </c>
      <c r="I129" s="1">
        <v>38.367049497939121</v>
      </c>
      <c r="J129" s="2">
        <v>275.33297553213401</v>
      </c>
      <c r="K129" s="1">
        <f t="shared" si="1"/>
        <v>-236.96592603419489</v>
      </c>
      <c r="L129">
        <v>476</v>
      </c>
      <c r="O129" s="1"/>
    </row>
    <row r="130" spans="1:15" x14ac:dyDescent="0.35">
      <c r="A130" s="4">
        <v>42948</v>
      </c>
      <c r="B130" s="1">
        <v>1.7122499262692656</v>
      </c>
      <c r="C130" s="1">
        <v>104.82781842102149</v>
      </c>
      <c r="D130" s="1">
        <v>106.10938671213877</v>
      </c>
      <c r="E130" s="1">
        <v>105.40382166074099</v>
      </c>
      <c r="F130" s="1">
        <v>102.67879413788398</v>
      </c>
      <c r="G130" s="2">
        <v>71.045306238047317</v>
      </c>
      <c r="H130" s="2">
        <v>32.769449793968164</v>
      </c>
      <c r="I130" s="1">
        <v>32.592380008551743</v>
      </c>
      <c r="J130" s="2">
        <v>297.30290329144532</v>
      </c>
      <c r="K130" s="1">
        <f t="shared" si="1"/>
        <v>-264.71052328289358</v>
      </c>
      <c r="L130">
        <v>472</v>
      </c>
      <c r="O130" s="1"/>
    </row>
    <row r="131" spans="1:15" x14ac:dyDescent="0.35">
      <c r="A131" s="4">
        <v>42979</v>
      </c>
      <c r="B131" s="1">
        <v>1.6690109937298416</v>
      </c>
      <c r="C131" s="1">
        <v>104.73570289116148</v>
      </c>
      <c r="D131" s="1">
        <v>106.36867920974541</v>
      </c>
      <c r="E131" s="1">
        <v>104.99578454735519</v>
      </c>
      <c r="F131" s="1">
        <v>102.65399455859414</v>
      </c>
      <c r="G131" s="2">
        <v>63.075124858430193</v>
      </c>
      <c r="H131" s="2">
        <v>-0.97733951969803312</v>
      </c>
      <c r="I131" s="1">
        <v>34.110210201696304</v>
      </c>
      <c r="J131" s="2">
        <v>248.11468384617297</v>
      </c>
      <c r="K131" s="1">
        <f t="shared" si="1"/>
        <v>-214.00447364447666</v>
      </c>
      <c r="L131">
        <v>471</v>
      </c>
      <c r="O131" s="1"/>
    </row>
    <row r="132" spans="1:15" x14ac:dyDescent="0.35">
      <c r="A132" s="4">
        <v>43009</v>
      </c>
      <c r="B132" s="1">
        <v>0.90474747888546858</v>
      </c>
      <c r="C132" s="1">
        <v>104.70585113298074</v>
      </c>
      <c r="D132" s="1">
        <v>106.32733810821735</v>
      </c>
      <c r="E132" s="1">
        <v>105.04108962812427</v>
      </c>
      <c r="F132" s="1">
        <v>102.63580853018523</v>
      </c>
      <c r="G132" s="2">
        <v>69.674509442883277</v>
      </c>
      <c r="H132" s="2">
        <v>13.344201991046868</v>
      </c>
      <c r="I132" s="1">
        <v>34.054733905014473</v>
      </c>
      <c r="J132" s="2">
        <v>272.12933706725607</v>
      </c>
      <c r="K132" s="1">
        <f t="shared" si="1"/>
        <v>-238.0746031622416</v>
      </c>
      <c r="L132">
        <v>476</v>
      </c>
      <c r="O132" s="1"/>
    </row>
    <row r="133" spans="1:15" x14ac:dyDescent="0.35">
      <c r="A133" s="4">
        <v>43040</v>
      </c>
      <c r="B133" s="1">
        <v>0.87940674981101097</v>
      </c>
      <c r="C133" s="1">
        <v>104.55930444148515</v>
      </c>
      <c r="D133" s="1">
        <v>106.32619154016895</v>
      </c>
      <c r="E133" s="1">
        <v>104.89711651487117</v>
      </c>
      <c r="F133" s="1">
        <v>102.62748634166489</v>
      </c>
      <c r="G133" s="2">
        <v>66.131867114239228</v>
      </c>
      <c r="H133" s="2">
        <v>13.608470564235983</v>
      </c>
      <c r="I133" s="1">
        <v>30.090687877476</v>
      </c>
      <c r="J133" s="2">
        <v>260.6642685447232</v>
      </c>
      <c r="K133" s="1">
        <f t="shared" si="1"/>
        <v>-230.5735806672472</v>
      </c>
      <c r="L133">
        <v>479</v>
      </c>
      <c r="O133" s="1"/>
    </row>
    <row r="134" spans="1:15" x14ac:dyDescent="0.35">
      <c r="A134" s="4">
        <v>43070</v>
      </c>
      <c r="B134" s="1">
        <v>0.49614012346401637</v>
      </c>
      <c r="C134" s="1">
        <v>104.34891268288911</v>
      </c>
      <c r="D134" s="1">
        <v>106.30605274545805</v>
      </c>
      <c r="E134" s="1">
        <v>104.54310455073903</v>
      </c>
      <c r="F134" s="1">
        <v>102.64488874219954</v>
      </c>
      <c r="G134" s="2">
        <v>69.384260753022417</v>
      </c>
      <c r="H134" s="2">
        <v>15.313690679181953</v>
      </c>
      <c r="I134" s="1">
        <v>29.481219425463792</v>
      </c>
      <c r="J134" s="2">
        <v>297.31382985615892</v>
      </c>
      <c r="K134" s="1">
        <f t="shared" si="1"/>
        <v>-267.83261043069513</v>
      </c>
      <c r="L134">
        <v>479</v>
      </c>
      <c r="O134" s="1"/>
    </row>
    <row r="135" spans="1:15" x14ac:dyDescent="0.35">
      <c r="A135" s="4">
        <v>43101</v>
      </c>
      <c r="B135" s="1">
        <v>-0.17730464866258444</v>
      </c>
      <c r="C135" s="1">
        <v>104.86633081520627</v>
      </c>
      <c r="D135" s="1">
        <v>106.73653715683416</v>
      </c>
      <c r="E135" s="1">
        <v>105.46031913039016</v>
      </c>
      <c r="F135" s="1">
        <v>102.66097101405897</v>
      </c>
      <c r="G135" s="2">
        <v>55.298586360930784</v>
      </c>
      <c r="H135" s="2">
        <v>12.237496579739323</v>
      </c>
      <c r="I135" s="1">
        <v>24.564782461472738</v>
      </c>
      <c r="J135" s="2">
        <v>195.06572724476547</v>
      </c>
      <c r="K135" s="1">
        <f t="shared" si="1"/>
        <v>-170.50094478329274</v>
      </c>
      <c r="L135">
        <v>494</v>
      </c>
      <c r="O135" s="1"/>
    </row>
    <row r="136" spans="1:15" x14ac:dyDescent="0.35">
      <c r="A136" s="4">
        <v>43132</v>
      </c>
      <c r="B136" s="1">
        <v>-1.7171900052076694E-2</v>
      </c>
      <c r="C136" s="1">
        <v>104.75913292942494</v>
      </c>
      <c r="D136" s="1">
        <v>106.45913938733916</v>
      </c>
      <c r="E136" s="1">
        <v>105.61669825720661</v>
      </c>
      <c r="F136" s="1">
        <v>102.64462022835413</v>
      </c>
      <c r="G136" s="2">
        <v>52.856081019342888</v>
      </c>
      <c r="H136" s="2">
        <v>16.270986436938692</v>
      </c>
      <c r="I136" s="1">
        <v>22.419290157049932</v>
      </c>
      <c r="J136" s="2">
        <v>205.24025610797736</v>
      </c>
      <c r="K136" s="1">
        <f t="shared" si="1"/>
        <v>-182.82096595092742</v>
      </c>
      <c r="L136">
        <v>498</v>
      </c>
      <c r="O136" s="1"/>
    </row>
    <row r="137" spans="1:15" x14ac:dyDescent="0.35">
      <c r="A137" s="4">
        <v>43160</v>
      </c>
      <c r="B137" s="1">
        <v>0.10119295601288059</v>
      </c>
      <c r="C137" s="1">
        <v>104.79573551891214</v>
      </c>
      <c r="D137" s="1">
        <v>106.56862456712881</v>
      </c>
      <c r="E137" s="1">
        <v>104.93161818829084</v>
      </c>
      <c r="F137" s="1">
        <v>102.64033568819259</v>
      </c>
      <c r="G137" s="2">
        <v>62.182867480475799</v>
      </c>
      <c r="H137" s="2">
        <v>1.4936367157399553</v>
      </c>
      <c r="I137" s="1">
        <v>26.407238169999943</v>
      </c>
      <c r="J137" s="2">
        <v>255.41439064517783</v>
      </c>
      <c r="K137" s="1">
        <f t="shared" si="1"/>
        <v>-229.00715247517789</v>
      </c>
      <c r="L137">
        <v>494</v>
      </c>
      <c r="O137" s="1"/>
    </row>
    <row r="138" spans="1:15" x14ac:dyDescent="0.35">
      <c r="A138" s="4">
        <v>43191</v>
      </c>
      <c r="B138" s="1">
        <v>0.40737918287572938</v>
      </c>
      <c r="C138" s="1">
        <v>104.15987897482421</v>
      </c>
      <c r="D138" s="1">
        <v>106.37551946959098</v>
      </c>
      <c r="E138" s="1">
        <v>104.62124406782021</v>
      </c>
      <c r="F138" s="1">
        <v>102.60868971135663</v>
      </c>
      <c r="G138" s="2">
        <v>64.330643774768802</v>
      </c>
      <c r="H138" s="2">
        <v>19.146365784901057</v>
      </c>
      <c r="I138" s="1">
        <v>25.61055228999993</v>
      </c>
      <c r="J138" s="2">
        <v>270.32075384143991</v>
      </c>
      <c r="K138" s="1">
        <f t="shared" si="1"/>
        <v>-244.71020155143998</v>
      </c>
      <c r="L138">
        <v>494</v>
      </c>
      <c r="O138" s="1"/>
    </row>
    <row r="139" spans="1:15" x14ac:dyDescent="0.35">
      <c r="A139" s="4">
        <v>43221</v>
      </c>
      <c r="B139" s="1">
        <v>0.99021413636475586</v>
      </c>
      <c r="C139" s="1">
        <v>103.51458903849257</v>
      </c>
      <c r="D139" s="1">
        <v>105.79629684612379</v>
      </c>
      <c r="E139" s="1">
        <v>103.8193365716205</v>
      </c>
      <c r="F139" s="1">
        <v>102.50448261838505</v>
      </c>
      <c r="G139" s="2">
        <v>73.669286453061375</v>
      </c>
      <c r="H139" s="2">
        <v>24.99608473552491</v>
      </c>
      <c r="I139" s="1">
        <v>32.878160809999997</v>
      </c>
      <c r="J139" s="2">
        <v>310.62433108081945</v>
      </c>
      <c r="K139" s="1">
        <f t="shared" si="1"/>
        <v>-277.74617027081945</v>
      </c>
      <c r="L139">
        <v>498</v>
      </c>
      <c r="O139" s="1"/>
    </row>
    <row r="140" spans="1:15" x14ac:dyDescent="0.35">
      <c r="A140" s="4">
        <v>43252</v>
      </c>
      <c r="B140" s="1">
        <v>0.80520206574060182</v>
      </c>
      <c r="C140" s="1">
        <v>103.66120874825546</v>
      </c>
      <c r="D140" s="1">
        <v>106.28880899164392</v>
      </c>
      <c r="E140" s="1">
        <v>103.86313216761678</v>
      </c>
      <c r="F140" s="1">
        <v>102.51578758915996</v>
      </c>
      <c r="G140" s="2">
        <v>76.179443574506109</v>
      </c>
      <c r="H140" s="2">
        <v>18.694926587387421</v>
      </c>
      <c r="I140" s="1">
        <v>37.171717190000045</v>
      </c>
      <c r="J140" s="2">
        <v>305.72843940131918</v>
      </c>
      <c r="K140" s="1">
        <f t="shared" si="1"/>
        <v>-268.55672221131914</v>
      </c>
      <c r="L140">
        <v>551</v>
      </c>
      <c r="O140" s="1"/>
    </row>
    <row r="141" spans="1:15" x14ac:dyDescent="0.35">
      <c r="A141" s="4">
        <v>43282</v>
      </c>
      <c r="B141" s="1">
        <v>1.2376930456939021</v>
      </c>
      <c r="C141" s="1">
        <v>104.16026747210353</v>
      </c>
      <c r="D141" s="1">
        <v>106.81797204406794</v>
      </c>
      <c r="E141" s="1">
        <v>104.24008724140728</v>
      </c>
      <c r="F141" s="1">
        <v>102.66621121100677</v>
      </c>
      <c r="G141" s="2">
        <v>64.776908743213085</v>
      </c>
      <c r="H141" s="2">
        <v>25.562145796498179</v>
      </c>
      <c r="I141" s="1">
        <v>28.801810539999938</v>
      </c>
      <c r="J141" s="2">
        <v>309.04416281400023</v>
      </c>
      <c r="K141" s="1">
        <f t="shared" si="1"/>
        <v>-280.24235227400027</v>
      </c>
      <c r="L141">
        <v>502</v>
      </c>
      <c r="O141" s="1"/>
    </row>
    <row r="142" spans="1:15" x14ac:dyDescent="0.35">
      <c r="A142" s="4">
        <v>43313</v>
      </c>
      <c r="B142" s="1">
        <v>1.4652045116835097</v>
      </c>
      <c r="C142" s="1">
        <v>104.36394712448906</v>
      </c>
      <c r="D142" s="1">
        <v>106.93782602509215</v>
      </c>
      <c r="E142" s="1">
        <v>104.36394712448906</v>
      </c>
      <c r="F142" s="1">
        <v>102.69509731615503</v>
      </c>
      <c r="G142" s="2">
        <v>71.055838966081481</v>
      </c>
      <c r="H142" s="2">
        <v>43.654349413651325</v>
      </c>
      <c r="I142" s="1">
        <v>30.485580939999966</v>
      </c>
      <c r="J142" s="2">
        <v>307.00762328382007</v>
      </c>
      <c r="K142" s="1">
        <f t="shared" si="1"/>
        <v>-276.52204234382009</v>
      </c>
      <c r="L142">
        <v>513</v>
      </c>
      <c r="O142" s="1"/>
    </row>
    <row r="143" spans="1:15" x14ac:dyDescent="0.35">
      <c r="A143" s="4">
        <v>43344</v>
      </c>
      <c r="B143" s="1">
        <v>1.4394757997709888</v>
      </c>
      <c r="C143" s="1">
        <v>104.25991865728068</v>
      </c>
      <c r="D143" s="1">
        <v>107.32595847819488</v>
      </c>
      <c r="E143" s="1">
        <v>104.25991865728068</v>
      </c>
      <c r="F143" s="1">
        <v>102.73594938008843</v>
      </c>
      <c r="G143" s="2">
        <v>67.565561754710714</v>
      </c>
      <c r="H143" s="2">
        <v>30.825651102087694</v>
      </c>
      <c r="I143" s="1">
        <v>36.686524269999957</v>
      </c>
      <c r="J143" s="2">
        <v>293.99014856144032</v>
      </c>
      <c r="K143" s="1">
        <f t="shared" si="1"/>
        <v>-257.30362429144037</v>
      </c>
      <c r="L143">
        <v>498</v>
      </c>
      <c r="O143" s="1"/>
    </row>
    <row r="144" spans="1:15" x14ac:dyDescent="0.35">
      <c r="A144" s="4">
        <v>43374</v>
      </c>
      <c r="B144" s="1">
        <v>1.4520956286418425</v>
      </c>
      <c r="C144" s="1">
        <v>104.18796469143983</v>
      </c>
      <c r="D144" s="1">
        <v>107.24224252683814</v>
      </c>
      <c r="E144" s="1">
        <v>104.23254783751676</v>
      </c>
      <c r="F144" s="1">
        <v>102.71409999549536</v>
      </c>
      <c r="G144" s="2">
        <v>74.701341972411242</v>
      </c>
      <c r="H144" s="2">
        <v>29.245812485339886</v>
      </c>
      <c r="I144" s="1">
        <v>38.3152530099999</v>
      </c>
      <c r="J144" s="2">
        <v>308.89480534611994</v>
      </c>
      <c r="K144" s="1">
        <f t="shared" si="1"/>
        <v>-270.57955233612006</v>
      </c>
      <c r="L144">
        <v>505</v>
      </c>
      <c r="O144" s="1"/>
    </row>
    <row r="145" spans="1:15" x14ac:dyDescent="0.35">
      <c r="A145" s="4">
        <v>43405</v>
      </c>
      <c r="B145" s="1">
        <v>2.0656044613053268</v>
      </c>
      <c r="C145" s="1">
        <v>106.46936308062547</v>
      </c>
      <c r="D145" s="1">
        <v>106.93428637763192</v>
      </c>
      <c r="E145" s="1">
        <v>104.97056575655365</v>
      </c>
      <c r="F145" s="1">
        <v>104.13735228795645</v>
      </c>
      <c r="G145" s="2">
        <v>68.775025213664065</v>
      </c>
      <c r="H145" s="2">
        <v>26.187301981724609</v>
      </c>
      <c r="I145" s="1">
        <v>34.737259950000137</v>
      </c>
      <c r="J145" s="2">
        <v>274.95402169315997</v>
      </c>
      <c r="K145" s="1">
        <f t="shared" si="1"/>
        <v>-240.21676174315985</v>
      </c>
      <c r="L145">
        <v>532</v>
      </c>
      <c r="O145" s="1"/>
    </row>
    <row r="146" spans="1:15" x14ac:dyDescent="0.35">
      <c r="A146" s="4">
        <v>43435</v>
      </c>
      <c r="B146" s="1">
        <v>2.892555437466342</v>
      </c>
      <c r="C146" s="1">
        <v>107.11959272487657</v>
      </c>
      <c r="D146" s="1">
        <v>107.63246203418073</v>
      </c>
      <c r="E146" s="1">
        <v>105.84636997676841</v>
      </c>
      <c r="F146" s="1">
        <v>104.01524419866253</v>
      </c>
      <c r="G146" s="2">
        <v>69.063835384845376</v>
      </c>
      <c r="H146" s="2">
        <v>23.814883207392587</v>
      </c>
      <c r="I146" s="1">
        <v>29.421950570000046</v>
      </c>
      <c r="J146" s="2">
        <v>302.96248796785</v>
      </c>
      <c r="K146" s="1">
        <f t="shared" si="1"/>
        <v>-273.54053739784996</v>
      </c>
      <c r="L146">
        <v>530</v>
      </c>
      <c r="O146" s="1"/>
    </row>
    <row r="147" spans="1:15" x14ac:dyDescent="0.35">
      <c r="A147" s="4">
        <v>43466</v>
      </c>
      <c r="B147" s="1">
        <v>3.1451340373147758</v>
      </c>
      <c r="C147" s="1">
        <v>107.78766745645028</v>
      </c>
      <c r="D147" s="1">
        <v>107.80334469338621</v>
      </c>
      <c r="E147" s="1">
        <v>107.19063246110485</v>
      </c>
      <c r="F147" s="1">
        <v>104.06601084339118</v>
      </c>
      <c r="G147" s="2">
        <v>56.569913007030202</v>
      </c>
      <c r="H147" s="2">
        <v>21.783753684769653</v>
      </c>
      <c r="I147" s="1">
        <v>23.479683900000026</v>
      </c>
      <c r="J147" s="2">
        <v>190.43904589290986</v>
      </c>
      <c r="K147" s="1">
        <f t="shared" si="1"/>
        <v>-166.95936199290983</v>
      </c>
      <c r="L147">
        <v>507</v>
      </c>
      <c r="O147" s="1"/>
    </row>
    <row r="148" spans="1:15" x14ac:dyDescent="0.35">
      <c r="A148" s="4">
        <v>43497</v>
      </c>
      <c r="B148" s="1">
        <v>3.1860293528261252</v>
      </c>
      <c r="C148" s="1">
        <v>107.16370636322026</v>
      </c>
      <c r="D148" s="1">
        <v>107.85802885833458</v>
      </c>
      <c r="E148" s="1">
        <v>107.20503933856931</v>
      </c>
      <c r="F148" s="1">
        <v>103.40202036646519</v>
      </c>
      <c r="G148" s="2">
        <v>56.626461973113244</v>
      </c>
      <c r="H148" s="2">
        <v>31.770071256065687</v>
      </c>
      <c r="I148" s="1">
        <v>24.050042280000014</v>
      </c>
      <c r="J148" s="2">
        <v>232.71255770017004</v>
      </c>
      <c r="K148" s="1">
        <f t="shared" si="1"/>
        <v>-208.66251542017002</v>
      </c>
      <c r="L148">
        <v>512</v>
      </c>
      <c r="O148" s="1"/>
    </row>
    <row r="149" spans="1:15" x14ac:dyDescent="0.35">
      <c r="A149" s="4">
        <v>43525</v>
      </c>
      <c r="B149" s="1">
        <v>3.2664927860702306</v>
      </c>
      <c r="C149" s="1">
        <v>107.32522628374946</v>
      </c>
      <c r="D149" s="1">
        <v>107.63274046399238</v>
      </c>
      <c r="E149" s="1">
        <v>106.43572916417048</v>
      </c>
      <c r="F149" s="1">
        <v>104.02862898274326</v>
      </c>
      <c r="G149" s="2">
        <v>71.66706132137665</v>
      </c>
      <c r="H149" s="2">
        <v>16.401898568170232</v>
      </c>
      <c r="I149" s="1">
        <v>29.572094139999962</v>
      </c>
      <c r="J149" s="2">
        <v>289.19157404619006</v>
      </c>
      <c r="K149" s="1">
        <f t="shared" si="1"/>
        <v>-259.61947990619012</v>
      </c>
      <c r="L149">
        <v>517</v>
      </c>
      <c r="O149" s="1"/>
    </row>
    <row r="150" spans="1:15" x14ac:dyDescent="0.35">
      <c r="A150" s="4">
        <v>43556</v>
      </c>
      <c r="B150" s="1">
        <v>3.3829978700661059</v>
      </c>
      <c r="C150" s="1">
        <v>107.16829578979979</v>
      </c>
      <c r="D150" s="1">
        <v>107.22407881254689</v>
      </c>
      <c r="E150" s="1">
        <v>105.96088179663798</v>
      </c>
      <c r="F150" s="1">
        <v>104.16751953575654</v>
      </c>
      <c r="G150" s="2">
        <v>68.819500456201609</v>
      </c>
      <c r="H150" s="2">
        <v>-3.6648312480693037</v>
      </c>
      <c r="I150" s="1">
        <v>36.941600030000075</v>
      </c>
      <c r="J150" s="2">
        <v>295.48696753149011</v>
      </c>
      <c r="K150" s="1">
        <f t="shared" si="1"/>
        <v>-258.54536750149003</v>
      </c>
      <c r="L150">
        <v>513</v>
      </c>
      <c r="O150" s="1"/>
    </row>
    <row r="151" spans="1:15" x14ac:dyDescent="0.35">
      <c r="A151" s="4">
        <v>43586</v>
      </c>
      <c r="B151" s="1">
        <v>3.4170688138976288</v>
      </c>
      <c r="C151" s="1">
        <v>107.22550210563223</v>
      </c>
      <c r="D151" s="1">
        <v>107.46535079360342</v>
      </c>
      <c r="E151" s="1">
        <v>105.51294810213633</v>
      </c>
      <c r="F151" s="1">
        <v>104.35067161377009</v>
      </c>
      <c r="G151" s="2">
        <v>78.39608086404823</v>
      </c>
      <c r="H151" s="2">
        <v>38.692913131990998</v>
      </c>
      <c r="I151" s="1">
        <v>31.891920620000008</v>
      </c>
      <c r="J151" s="2">
        <v>321.62078998809994</v>
      </c>
      <c r="K151" s="1">
        <f t="shared" si="1"/>
        <v>-289.72886936809994</v>
      </c>
      <c r="L151">
        <v>517</v>
      </c>
      <c r="O151" s="1"/>
    </row>
    <row r="152" spans="1:15" x14ac:dyDescent="0.35">
      <c r="A152" s="4">
        <v>43617</v>
      </c>
      <c r="B152" s="1">
        <v>2.9530317946510962</v>
      </c>
      <c r="C152" s="1">
        <v>106.94485665333362</v>
      </c>
      <c r="D152" s="1">
        <v>107.68021387933551</v>
      </c>
      <c r="E152" s="1">
        <v>104.99064887486662</v>
      </c>
      <c r="F152" s="1">
        <v>104.20282482525958</v>
      </c>
      <c r="G152" s="2">
        <v>73.504052678414723</v>
      </c>
      <c r="H152" s="2">
        <v>5.7937409110026694</v>
      </c>
      <c r="I152" s="1">
        <v>32.115139740000018</v>
      </c>
      <c r="J152" s="2">
        <v>275.23735087666006</v>
      </c>
      <c r="K152" s="1">
        <f t="shared" si="1"/>
        <v>-243.12221113666004</v>
      </c>
      <c r="L152">
        <v>542</v>
      </c>
      <c r="O152" s="1"/>
    </row>
    <row r="153" spans="1:15" x14ac:dyDescent="0.35">
      <c r="A153" s="4">
        <v>43647</v>
      </c>
      <c r="B153" s="1">
        <v>2.6048691254251963</v>
      </c>
      <c r="C153" s="1">
        <v>106.50565631713035</v>
      </c>
      <c r="D153" s="1">
        <v>107.17350894740053</v>
      </c>
      <c r="E153" s="1">
        <v>105.2110574348257</v>
      </c>
      <c r="F153" s="1">
        <v>103.99224527904056</v>
      </c>
      <c r="G153" s="2">
        <v>73.918955890682625</v>
      </c>
      <c r="H153" s="2">
        <v>36.892259437172214</v>
      </c>
      <c r="I153" s="1">
        <v>40.469856830000083</v>
      </c>
      <c r="J153" s="2">
        <v>336.86628545119976</v>
      </c>
      <c r="K153" s="1">
        <f t="shared" si="1"/>
        <v>-296.39642862119968</v>
      </c>
      <c r="L153">
        <v>513</v>
      </c>
      <c r="O153" s="1"/>
    </row>
    <row r="154" spans="1:15" x14ac:dyDescent="0.35">
      <c r="A154" s="4">
        <v>43678</v>
      </c>
      <c r="B154" s="1">
        <v>2.6541886308106655</v>
      </c>
      <c r="C154" s="1">
        <v>106.85629758859595</v>
      </c>
      <c r="D154" s="1">
        <v>107.61422905913899</v>
      </c>
      <c r="E154" s="1">
        <v>105.5541705384944</v>
      </c>
      <c r="F154" s="1">
        <v>103.92987625277176</v>
      </c>
      <c r="G154" s="2">
        <v>73.80305462818599</v>
      </c>
      <c r="H154" s="2">
        <v>48.59825915125117</v>
      </c>
      <c r="I154" s="1">
        <v>31.905756929999939</v>
      </c>
      <c r="J154" s="2">
        <v>311.85711556351987</v>
      </c>
      <c r="K154" s="1">
        <f t="shared" si="1"/>
        <v>-279.95135863351993</v>
      </c>
      <c r="L154">
        <v>511</v>
      </c>
      <c r="O154" s="1"/>
    </row>
    <row r="155" spans="1:15" x14ac:dyDescent="0.35">
      <c r="A155" s="4">
        <v>43709</v>
      </c>
      <c r="B155" s="1">
        <v>2.4439776474225425</v>
      </c>
      <c r="C155" s="1">
        <v>106.92644308432915</v>
      </c>
      <c r="D155" s="1">
        <v>108.14911362398946</v>
      </c>
      <c r="E155" s="1">
        <v>105.27334167186029</v>
      </c>
      <c r="F155" s="1">
        <v>103.92578549444839</v>
      </c>
      <c r="G155" s="2">
        <v>74.298302718569602</v>
      </c>
      <c r="H155" s="2">
        <v>20.137146591167674</v>
      </c>
      <c r="I155" s="1">
        <v>38.420090930000008</v>
      </c>
      <c r="J155" s="2">
        <v>295.72399909693996</v>
      </c>
      <c r="K155" s="1">
        <f t="shared" si="1"/>
        <v>-257.30390816693995</v>
      </c>
      <c r="L155">
        <v>512</v>
      </c>
      <c r="O155" s="1"/>
    </row>
    <row r="156" spans="1:15" x14ac:dyDescent="0.35">
      <c r="A156" s="4">
        <v>43739</v>
      </c>
      <c r="B156" s="1">
        <v>2.1750452221423302</v>
      </c>
      <c r="C156" s="1">
        <v>106.78635660395526</v>
      </c>
      <c r="D156" s="1">
        <v>107.8729960503139</v>
      </c>
      <c r="E156" s="1">
        <v>105.06710869748666</v>
      </c>
      <c r="F156" s="1">
        <v>104.10302815124442</v>
      </c>
      <c r="G156" s="2">
        <v>78.191692300307906</v>
      </c>
      <c r="H156" s="2">
        <v>37.012513486442593</v>
      </c>
      <c r="I156" s="1">
        <v>32.343964599999921</v>
      </c>
      <c r="J156" s="2">
        <v>315.1260605968501</v>
      </c>
      <c r="K156" s="1">
        <f t="shared" si="1"/>
        <v>-282.78209599685016</v>
      </c>
      <c r="L156">
        <v>516</v>
      </c>
      <c r="O156" s="1"/>
    </row>
    <row r="157" spans="1:15" x14ac:dyDescent="0.35">
      <c r="A157" s="4">
        <v>43770</v>
      </c>
      <c r="B157" s="1">
        <v>1.6879908243375894</v>
      </c>
      <c r="C157" s="1">
        <v>106.99344012162935</v>
      </c>
      <c r="D157" s="1">
        <v>107.99964844234958</v>
      </c>
      <c r="E157" s="1">
        <v>105.44705913290544</v>
      </c>
      <c r="F157" s="1">
        <v>104.0122024365901</v>
      </c>
      <c r="G157" s="2">
        <v>73.540943341378537</v>
      </c>
      <c r="H157" s="2">
        <v>21.622498006913109</v>
      </c>
      <c r="I157" s="1">
        <v>35.39144081999995</v>
      </c>
      <c r="J157" s="2">
        <v>297.61270038720056</v>
      </c>
      <c r="K157" s="1">
        <f t="shared" si="1"/>
        <v>-262.2212595672006</v>
      </c>
      <c r="L157">
        <v>518</v>
      </c>
      <c r="O157" s="1"/>
    </row>
    <row r="158" spans="1:15" x14ac:dyDescent="0.35">
      <c r="A158" s="4">
        <v>43800</v>
      </c>
      <c r="B158" s="1">
        <v>1.1764009213772084</v>
      </c>
      <c r="C158" s="1">
        <v>107.0202571931454</v>
      </c>
      <c r="D158" s="1">
        <v>107.81910972282661</v>
      </c>
      <c r="E158" s="1">
        <v>105.45822649127041</v>
      </c>
      <c r="F158" s="1">
        <v>104.09654907020371</v>
      </c>
      <c r="G158" s="2">
        <v>72.411552867031119</v>
      </c>
      <c r="H158" s="2">
        <v>-20.423254564951115</v>
      </c>
      <c r="I158" s="1">
        <v>26.920497629999968</v>
      </c>
      <c r="J158" s="2">
        <v>335.2572637487898</v>
      </c>
      <c r="K158" s="1">
        <f t="shared" si="1"/>
        <v>-308.33676611878985</v>
      </c>
      <c r="L158">
        <v>547</v>
      </c>
      <c r="O158" s="1"/>
    </row>
    <row r="159" spans="1:15" x14ac:dyDescent="0.35">
      <c r="A159" s="4">
        <v>43831</v>
      </c>
      <c r="B159" s="1">
        <v>1.5355570247788819</v>
      </c>
      <c r="C159" s="1">
        <v>107.73003225205295</v>
      </c>
      <c r="D159" s="1">
        <v>108.38157724052566</v>
      </c>
      <c r="E159" s="1">
        <v>106.96188794405464</v>
      </c>
      <c r="F159" s="1">
        <v>104.022548153874</v>
      </c>
      <c r="G159" s="2">
        <v>62.285775049131935</v>
      </c>
      <c r="H159" s="2">
        <v>67.440594104912819</v>
      </c>
      <c r="I159" s="1">
        <v>28.93868672000006</v>
      </c>
      <c r="J159" s="2">
        <v>221.21600738111999</v>
      </c>
      <c r="K159" s="1">
        <f t="shared" si="1"/>
        <v>-192.27732066111994</v>
      </c>
      <c r="L159">
        <v>510</v>
      </c>
      <c r="O159" s="1"/>
    </row>
    <row r="160" spans="1:15" x14ac:dyDescent="0.35">
      <c r="A160" s="4">
        <v>43862</v>
      </c>
      <c r="B160" s="1">
        <v>0.97364739358218344</v>
      </c>
      <c r="C160" s="1">
        <v>107.48015869796079</v>
      </c>
      <c r="D160" s="1">
        <v>107.96308474922049</v>
      </c>
      <c r="E160" s="1">
        <v>106.53617324188896</v>
      </c>
      <c r="F160" s="1">
        <v>103.99550138772595</v>
      </c>
      <c r="G160" s="2">
        <v>63.333838845329979</v>
      </c>
      <c r="H160" s="2">
        <v>23.987361218515858</v>
      </c>
      <c r="I160" s="1">
        <v>35.933120709999805</v>
      </c>
      <c r="J160" s="2">
        <v>263.39228449726005</v>
      </c>
      <c r="K160" s="1">
        <f t="shared" si="1"/>
        <v>-227.45916378726025</v>
      </c>
      <c r="L160">
        <v>514</v>
      </c>
      <c r="O160" s="1"/>
    </row>
    <row r="161" spans="1:15" x14ac:dyDescent="0.35">
      <c r="A161" s="4">
        <v>43891</v>
      </c>
      <c r="B161" s="1">
        <v>0.73241641422711723</v>
      </c>
      <c r="C161" s="1">
        <v>107.5783538260105</v>
      </c>
      <c r="D161" s="1">
        <v>108.09297045930859</v>
      </c>
      <c r="E161" s="1">
        <v>105.96391974300299</v>
      </c>
      <c r="F161" s="1">
        <v>104.30354350002963</v>
      </c>
      <c r="G161" s="2">
        <v>61.688962641473552</v>
      </c>
      <c r="H161" s="2">
        <v>12.921810497149295</v>
      </c>
      <c r="I161" s="1">
        <v>32.164362969999992</v>
      </c>
      <c r="J161" s="2">
        <v>252.06958912323995</v>
      </c>
      <c r="K161" s="1">
        <f t="shared" si="1"/>
        <v>-219.90522615323997</v>
      </c>
      <c r="L161">
        <v>521</v>
      </c>
      <c r="O161" s="1"/>
    </row>
    <row r="162" spans="1:15" x14ac:dyDescent="0.35">
      <c r="A162" s="4">
        <v>43922</v>
      </c>
      <c r="B162" s="1">
        <v>0.32053355107359494</v>
      </c>
      <c r="C162" s="1">
        <v>107.31179728508218</v>
      </c>
      <c r="D162" s="1">
        <v>107.99681330940436</v>
      </c>
      <c r="E162" s="1">
        <v>105.4355974631916</v>
      </c>
      <c r="F162" s="1">
        <v>104.63417448301489</v>
      </c>
      <c r="G162" s="2">
        <v>60.631933648668287</v>
      </c>
      <c r="H162" s="2">
        <v>15.103212969375042</v>
      </c>
      <c r="I162" s="1">
        <v>32.688254999999998</v>
      </c>
      <c r="J162" s="2">
        <v>193.97376363122982</v>
      </c>
      <c r="K162" s="1">
        <f t="shared" si="1"/>
        <v>-161.28550863122982</v>
      </c>
      <c r="L162">
        <v>586</v>
      </c>
      <c r="O162" s="1"/>
    </row>
    <row r="163" spans="1:15" x14ac:dyDescent="0.35">
      <c r="A163" s="4">
        <v>43952</v>
      </c>
      <c r="B163" s="1">
        <v>0.19017519493853285</v>
      </c>
      <c r="C163" s="1">
        <v>107.07153781452639</v>
      </c>
      <c r="D163" s="1">
        <v>107.63879277501657</v>
      </c>
      <c r="E163" s="1">
        <v>105.12959011872437</v>
      </c>
      <c r="F163" s="1">
        <v>104.66924350799771</v>
      </c>
      <c r="G163" s="2">
        <v>103.98317472763821</v>
      </c>
      <c r="H163" s="2">
        <v>7.4118822491613807</v>
      </c>
      <c r="I163" s="1">
        <v>38.766368959999987</v>
      </c>
      <c r="J163" s="2">
        <v>239.07925230509005</v>
      </c>
      <c r="K163" s="1">
        <f t="shared" si="1"/>
        <v>-200.31288334509006</v>
      </c>
      <c r="L163">
        <v>600</v>
      </c>
      <c r="O163" s="1"/>
    </row>
    <row r="164" spans="1:15" x14ac:dyDescent="0.35">
      <c r="A164" s="4">
        <v>43983</v>
      </c>
      <c r="B164" s="1">
        <v>0.11005943940894269</v>
      </c>
      <c r="C164" s="1">
        <v>106.46410680148986</v>
      </c>
      <c r="D164" s="1">
        <v>106.88175832790118</v>
      </c>
      <c r="E164" s="1">
        <v>104.26876473383729</v>
      </c>
      <c r="F164" s="1">
        <v>104.90649964414165</v>
      </c>
      <c r="G164" s="2">
        <v>82.934561549298635</v>
      </c>
      <c r="H164" s="2">
        <v>47.267370593763189</v>
      </c>
      <c r="I164" s="1">
        <v>44.627015579999814</v>
      </c>
      <c r="J164" s="2">
        <v>290.80366238205062</v>
      </c>
      <c r="K164" s="1">
        <f t="shared" si="1"/>
        <v>-246.17664680205081</v>
      </c>
      <c r="L164">
        <v>534</v>
      </c>
      <c r="O164" s="1"/>
    </row>
    <row r="165" spans="1:15" x14ac:dyDescent="0.35">
      <c r="A165" s="4">
        <v>44013</v>
      </c>
      <c r="B165" s="1">
        <v>-0.10383145355402235</v>
      </c>
      <c r="C165" s="1">
        <v>106.42772762872062</v>
      </c>
      <c r="D165" s="1">
        <v>107.07226298840457</v>
      </c>
      <c r="E165" s="1">
        <v>103.78720975438381</v>
      </c>
      <c r="F165" s="1">
        <v>105.01356596853743</v>
      </c>
      <c r="G165" s="2">
        <v>92.336823303877082</v>
      </c>
      <c r="H165" s="2">
        <v>28.347154283391195</v>
      </c>
      <c r="I165" s="1">
        <v>42.636422620000019</v>
      </c>
      <c r="J165" s="2">
        <v>306.37650083094229</v>
      </c>
      <c r="K165" s="1">
        <f t="shared" si="1"/>
        <v>-263.74007821094227</v>
      </c>
      <c r="L165">
        <v>516</v>
      </c>
      <c r="O165" s="1"/>
    </row>
    <row r="166" spans="1:15" x14ac:dyDescent="0.35">
      <c r="A166" s="4">
        <v>44044</v>
      </c>
      <c r="B166" s="1">
        <v>-0.48630558183539563</v>
      </c>
      <c r="C166" s="1">
        <v>107.04307906690725</v>
      </c>
      <c r="D166" s="1">
        <v>106.75159664930537</v>
      </c>
      <c r="E166" s="1">
        <v>104.31314321977175</v>
      </c>
      <c r="F166" s="1">
        <v>105.44564852185501</v>
      </c>
      <c r="G166" s="2">
        <v>81.606774078580145</v>
      </c>
      <c r="H166" s="2">
        <v>27.920875696798745</v>
      </c>
      <c r="I166" s="1">
        <v>34.317189679999984</v>
      </c>
      <c r="J166" s="2">
        <v>263.30468045934015</v>
      </c>
      <c r="K166" s="1">
        <f t="shared" si="1"/>
        <v>-228.98749077934016</v>
      </c>
      <c r="L166">
        <v>548</v>
      </c>
      <c r="O166" s="1"/>
    </row>
    <row r="167" spans="1:15" x14ac:dyDescent="0.35">
      <c r="A167" s="4">
        <v>44075</v>
      </c>
      <c r="B167" s="1">
        <v>-0.4</v>
      </c>
      <c r="C167" s="1">
        <v>107.41336655573355</v>
      </c>
      <c r="D167" s="1">
        <v>107.17504205579473</v>
      </c>
      <c r="E167" s="1">
        <v>104.68506497087023</v>
      </c>
      <c r="F167" s="1">
        <v>105.53137477113891</v>
      </c>
      <c r="G167" s="2">
        <v>88.230762599241388</v>
      </c>
      <c r="H167" s="2">
        <v>23.88659337186348</v>
      </c>
      <c r="I167" s="1">
        <v>41.725034190000095</v>
      </c>
      <c r="J167" s="2">
        <v>287.29433369147995</v>
      </c>
      <c r="K167" s="1">
        <f t="shared" si="1"/>
        <v>-245.56929950147986</v>
      </c>
      <c r="L167">
        <v>592</v>
      </c>
      <c r="O167" s="1"/>
    </row>
    <row r="168" spans="1:15" x14ac:dyDescent="0.35">
      <c r="A168" s="4">
        <v>44105</v>
      </c>
      <c r="B168" s="1">
        <v>-0.17377819905213698</v>
      </c>
      <c r="C168" s="1">
        <v>107.56138736360911</v>
      </c>
      <c r="D168" s="1">
        <v>107.21613435409084</v>
      </c>
      <c r="E168" s="1">
        <v>104.69660318018062</v>
      </c>
      <c r="F168" s="1">
        <v>105.67568856766903</v>
      </c>
      <c r="G168" s="2">
        <v>99.447657106898419</v>
      </c>
      <c r="H168" s="2">
        <v>23.982399832282866</v>
      </c>
      <c r="I168" s="1">
        <v>50.637254040000059</v>
      </c>
      <c r="J168" s="2">
        <v>317.67478734417654</v>
      </c>
      <c r="K168" s="1">
        <f t="shared" ref="K168:K224" si="2">I168-J168</f>
        <v>-267.03753330417646</v>
      </c>
      <c r="L168">
        <v>520</v>
      </c>
      <c r="O168" s="1"/>
    </row>
    <row r="169" spans="1:15" x14ac:dyDescent="0.35">
      <c r="A169" s="4">
        <v>44136</v>
      </c>
      <c r="B169" s="1">
        <v>-0.25864522232733123</v>
      </c>
      <c r="C169" s="1">
        <v>107.72931005532521</v>
      </c>
      <c r="D169" s="1">
        <v>107.34592698472207</v>
      </c>
      <c r="E169" s="1">
        <v>105.09035509412111</v>
      </c>
      <c r="F169" s="1">
        <v>105.66069455539773</v>
      </c>
      <c r="G169" s="2">
        <v>88.296646707855132</v>
      </c>
      <c r="H169" s="2">
        <v>33.534191135489237</v>
      </c>
      <c r="I169" s="1">
        <v>45.798749759999872</v>
      </c>
      <c r="J169" s="2">
        <v>305.73730021559015</v>
      </c>
      <c r="K169" s="1">
        <f t="shared" si="2"/>
        <v>-259.9385504555903</v>
      </c>
      <c r="L169">
        <v>598</v>
      </c>
      <c r="O169" s="1"/>
    </row>
    <row r="170" spans="1:15" x14ac:dyDescent="0.35">
      <c r="A170" s="4">
        <v>44166</v>
      </c>
      <c r="B170" s="1">
        <v>8.588113207545689E-2</v>
      </c>
      <c r="C170" s="1">
        <v>108.01815554036938</v>
      </c>
      <c r="D170" s="1">
        <v>107.77454303587956</v>
      </c>
      <c r="E170" s="1">
        <v>105.45100021971096</v>
      </c>
      <c r="F170" s="1">
        <v>105.69643262678159</v>
      </c>
      <c r="G170" s="2">
        <v>95.335104174365952</v>
      </c>
      <c r="H170" s="2">
        <v>33.865824008621487</v>
      </c>
      <c r="I170" s="1">
        <v>46.727395119999933</v>
      </c>
      <c r="J170" s="2">
        <v>355.97594845033012</v>
      </c>
      <c r="K170" s="1">
        <f t="shared" si="2"/>
        <v>-309.2485533303302</v>
      </c>
      <c r="L170">
        <v>591</v>
      </c>
      <c r="O170" s="1"/>
    </row>
    <row r="171" spans="1:15" x14ac:dyDescent="0.35">
      <c r="A171" s="4">
        <v>44197</v>
      </c>
      <c r="B171" s="1">
        <v>-0.19359644194756243</v>
      </c>
      <c r="C171" s="1">
        <v>108.63627870156603</v>
      </c>
      <c r="D171" s="1">
        <v>109.26487608518487</v>
      </c>
      <c r="E171" s="1">
        <v>105.64396583570692</v>
      </c>
      <c r="F171" s="1">
        <v>105.48636007581054</v>
      </c>
      <c r="G171" s="2">
        <v>69.297294629381781</v>
      </c>
      <c r="H171" s="2">
        <v>31.48721944398417</v>
      </c>
      <c r="I171" s="1">
        <v>42.56428412999994</v>
      </c>
      <c r="J171" s="2">
        <v>235.83705642225414</v>
      </c>
      <c r="K171" s="1">
        <f t="shared" si="2"/>
        <v>-193.27277229225419</v>
      </c>
      <c r="L171">
        <v>552</v>
      </c>
      <c r="O171" s="1"/>
    </row>
    <row r="172" spans="1:15" x14ac:dyDescent="0.35">
      <c r="A172" s="4">
        <v>44228</v>
      </c>
      <c r="B172" s="1">
        <v>0.73262382739211773</v>
      </c>
      <c r="C172" s="1">
        <v>108.94460451972085</v>
      </c>
      <c r="D172" s="1">
        <v>109.62660278009122</v>
      </c>
      <c r="E172" s="1">
        <v>106.15691090212674</v>
      </c>
      <c r="F172" s="1">
        <v>105.30055891721047</v>
      </c>
      <c r="G172" s="2">
        <v>76.804074670069184</v>
      </c>
      <c r="H172" s="2">
        <v>31.614411707243391</v>
      </c>
      <c r="I172" s="1">
        <v>48.408487820000161</v>
      </c>
      <c r="J172" s="2">
        <v>301.70979892368996</v>
      </c>
      <c r="K172" s="1">
        <f t="shared" si="2"/>
        <v>-253.30131110368978</v>
      </c>
      <c r="L172">
        <v>584</v>
      </c>
      <c r="O172" s="1"/>
    </row>
    <row r="173" spans="1:15" x14ac:dyDescent="0.35">
      <c r="A173" s="4">
        <v>44256</v>
      </c>
      <c r="B173" s="1">
        <v>1.2434338028169094</v>
      </c>
      <c r="C173" s="1">
        <v>109.0677736689866</v>
      </c>
      <c r="D173" s="1">
        <v>109.30828528032124</v>
      </c>
      <c r="E173" s="1">
        <v>105.65345055506971</v>
      </c>
      <c r="F173" s="1">
        <v>105.58340102284095</v>
      </c>
      <c r="G173" s="2">
        <v>96.824751718632896</v>
      </c>
      <c r="H173" s="2">
        <v>40.806888465522491</v>
      </c>
      <c r="I173" s="1">
        <v>61.806903579999826</v>
      </c>
      <c r="J173" s="2">
        <v>382.52156147584014</v>
      </c>
      <c r="K173" s="1">
        <f t="shared" si="2"/>
        <v>-320.71465789584033</v>
      </c>
      <c r="L173">
        <v>560</v>
      </c>
      <c r="O173" s="1"/>
    </row>
    <row r="174" spans="1:15" x14ac:dyDescent="0.35">
      <c r="A174" s="4">
        <v>44287</v>
      </c>
      <c r="B174" s="1">
        <v>1.8685696798493439</v>
      </c>
      <c r="C174" s="1">
        <v>109.1065102445378</v>
      </c>
      <c r="D174" s="1">
        <v>109.17945344683332</v>
      </c>
      <c r="E174" s="1">
        <v>105.43904937184291</v>
      </c>
      <c r="F174" s="1">
        <v>105.85906157196798</v>
      </c>
      <c r="G174" s="2">
        <v>90.525372408880855</v>
      </c>
      <c r="H174" s="2">
        <v>34.950702185950966</v>
      </c>
      <c r="I174" s="1">
        <v>61.107124339999828</v>
      </c>
      <c r="J174" s="2">
        <v>384.54080722144039</v>
      </c>
      <c r="K174" s="1">
        <f t="shared" si="2"/>
        <v>-323.43368288144057</v>
      </c>
      <c r="L174">
        <v>543</v>
      </c>
      <c r="O174" s="1"/>
    </row>
    <row r="175" spans="1:15" x14ac:dyDescent="0.35">
      <c r="A175" s="4">
        <v>44317</v>
      </c>
      <c r="B175" s="1">
        <v>1.9652139809504234</v>
      </c>
      <c r="C175" s="1">
        <v>108.76324897860911</v>
      </c>
      <c r="D175" s="1">
        <v>108.77473287748016</v>
      </c>
      <c r="E175" s="1">
        <v>104.85089944924817</v>
      </c>
      <c r="F175" s="1">
        <v>105.97265312609277</v>
      </c>
      <c r="G175" s="2">
        <v>113.29703864226731</v>
      </c>
      <c r="H175" s="2">
        <v>46.658469787857683</v>
      </c>
      <c r="I175" s="1">
        <v>57.830625789999999</v>
      </c>
      <c r="J175" s="2">
        <v>366.05292858438798</v>
      </c>
      <c r="K175" s="1">
        <f t="shared" si="2"/>
        <v>-308.22230279438799</v>
      </c>
      <c r="L175">
        <v>551</v>
      </c>
      <c r="O175" s="1"/>
    </row>
    <row r="176" spans="1:15" x14ac:dyDescent="0.35">
      <c r="A176" s="4">
        <v>44348</v>
      </c>
      <c r="B176" s="1">
        <v>2.3613900859210162</v>
      </c>
      <c r="C176" s="1">
        <v>108.78915756640748</v>
      </c>
      <c r="D176" s="1">
        <v>108.8275665779543</v>
      </c>
      <c r="E176" s="1">
        <v>104.83495739368342</v>
      </c>
      <c r="F176" s="1">
        <v>105.98757903235401</v>
      </c>
      <c r="G176" s="2">
        <v>107.72727205691432</v>
      </c>
      <c r="H176" s="2">
        <v>39.415463085399658</v>
      </c>
      <c r="I176" s="1">
        <v>72.913373179999851</v>
      </c>
      <c r="J176" s="2">
        <v>393.29554633338944</v>
      </c>
      <c r="K176" s="1">
        <f t="shared" si="2"/>
        <v>-320.3821731533896</v>
      </c>
      <c r="L176">
        <v>535</v>
      </c>
      <c r="O176" s="1"/>
    </row>
    <row r="177" spans="1:15" x14ac:dyDescent="0.35">
      <c r="A177" s="4">
        <v>44378</v>
      </c>
      <c r="B177" s="1">
        <v>3.5036544753939296</v>
      </c>
      <c r="C177" s="1">
        <v>109.2106634147724</v>
      </c>
      <c r="D177" s="1">
        <v>109.6378603114521</v>
      </c>
      <c r="E177" s="1">
        <v>105.43686217941584</v>
      </c>
      <c r="F177" s="1">
        <v>105.80329116965682</v>
      </c>
      <c r="G177" s="2">
        <v>102.55803510075613</v>
      </c>
      <c r="H177" s="2">
        <v>48.712762169683849</v>
      </c>
      <c r="I177" s="1">
        <v>62.324691789999918</v>
      </c>
      <c r="J177" s="2">
        <v>430.08657265978923</v>
      </c>
      <c r="K177" s="1">
        <f t="shared" si="2"/>
        <v>-367.76188086978931</v>
      </c>
      <c r="L177">
        <v>515</v>
      </c>
      <c r="O177" s="1"/>
    </row>
    <row r="178" spans="1:15" x14ac:dyDescent="0.35">
      <c r="A178" s="4">
        <v>44409</v>
      </c>
      <c r="B178" s="1">
        <v>4.6717492517419572</v>
      </c>
      <c r="C178" s="1">
        <v>110.08550789816574</v>
      </c>
      <c r="D178" s="1">
        <v>110.53806974954828</v>
      </c>
      <c r="E178" s="1">
        <v>106.3418821464156</v>
      </c>
      <c r="F178" s="1">
        <v>105.64847318247715</v>
      </c>
      <c r="G178" s="2">
        <v>110.15645567035301</v>
      </c>
      <c r="H178" s="2">
        <v>54.226924405220608</v>
      </c>
      <c r="I178" s="1">
        <v>64.991895660000182</v>
      </c>
      <c r="J178" s="2">
        <v>417.59535322907027</v>
      </c>
      <c r="K178" s="1">
        <f t="shared" si="2"/>
        <v>-352.60345756907009</v>
      </c>
      <c r="L178">
        <v>524</v>
      </c>
      <c r="O178" s="1"/>
    </row>
    <row r="179" spans="1:15" x14ac:dyDescent="0.35">
      <c r="A179" s="4">
        <v>44440</v>
      </c>
      <c r="B179" s="1">
        <v>4.8658868000892141</v>
      </c>
      <c r="C179" s="1">
        <v>110.05549365858947</v>
      </c>
      <c r="D179" s="1">
        <v>110.82286960870464</v>
      </c>
      <c r="E179" s="1">
        <v>105.9261295788037</v>
      </c>
      <c r="F179" s="1">
        <v>105.7138104667216</v>
      </c>
      <c r="G179" s="2">
        <v>94.666156747697698</v>
      </c>
      <c r="H179" s="2">
        <v>66.683275195024436</v>
      </c>
      <c r="I179" s="1">
        <v>75.608102770000073</v>
      </c>
      <c r="J179" s="2">
        <v>452.16681509410023</v>
      </c>
      <c r="K179" s="1">
        <f t="shared" si="2"/>
        <v>-376.55871232410016</v>
      </c>
      <c r="L179">
        <v>523</v>
      </c>
      <c r="O179" s="1"/>
    </row>
    <row r="180" spans="1:15" x14ac:dyDescent="0.35">
      <c r="A180" s="4">
        <v>44470</v>
      </c>
      <c r="B180" s="1">
        <v>5.7001302282039745</v>
      </c>
      <c r="C180" s="1">
        <v>110.294618300404</v>
      </c>
      <c r="D180" s="1">
        <v>111.15495165044028</v>
      </c>
      <c r="E180" s="1">
        <v>105.94708230682876</v>
      </c>
      <c r="F180" s="1">
        <v>105.83505472707493</v>
      </c>
      <c r="G180" s="2">
        <v>94.755281747559849</v>
      </c>
      <c r="H180" s="2">
        <v>48.570043618191491</v>
      </c>
      <c r="I180" s="1">
        <v>72.683853409999628</v>
      </c>
      <c r="J180" s="2">
        <v>428.54525018119983</v>
      </c>
      <c r="K180" s="1">
        <f t="shared" si="2"/>
        <v>-355.86139677120019</v>
      </c>
      <c r="L180">
        <v>547</v>
      </c>
      <c r="O180" s="1"/>
    </row>
    <row r="181" spans="1:15" x14ac:dyDescent="0.35">
      <c r="A181" s="4">
        <v>44501</v>
      </c>
      <c r="B181" s="1">
        <v>6.8963896895406265</v>
      </c>
      <c r="C181" s="1">
        <v>111.76416792683983</v>
      </c>
      <c r="D181" s="1">
        <v>112.19002669373015</v>
      </c>
      <c r="E181" s="1">
        <v>106.86635085619835</v>
      </c>
      <c r="F181" s="1">
        <v>106.24097370619016</v>
      </c>
      <c r="G181" s="2">
        <v>89.505332912181572</v>
      </c>
      <c r="H181" s="2">
        <v>43.144227189438475</v>
      </c>
      <c r="I181" s="1">
        <v>70.697321850000009</v>
      </c>
      <c r="J181" s="2">
        <v>431.84119695929058</v>
      </c>
      <c r="K181" s="1">
        <f t="shared" si="2"/>
        <v>-361.14387510929055</v>
      </c>
      <c r="L181">
        <v>528</v>
      </c>
      <c r="O181" s="1"/>
    </row>
    <row r="182" spans="1:15" x14ac:dyDescent="0.35">
      <c r="A182" s="4">
        <v>44531</v>
      </c>
      <c r="B182" s="1">
        <v>6.7067298071578705</v>
      </c>
      <c r="C182" s="1">
        <v>112.54113650996932</v>
      </c>
      <c r="D182" s="1">
        <v>112.40348149489115</v>
      </c>
      <c r="E182" s="1">
        <v>106.83317445221199</v>
      </c>
      <c r="F182" s="1">
        <v>107.02654220453054</v>
      </c>
      <c r="G182" s="2">
        <v>107.32493691712988</v>
      </c>
      <c r="H182" s="2">
        <v>-65.614433076332574</v>
      </c>
      <c r="I182" s="1">
        <v>65.063841489999973</v>
      </c>
      <c r="J182" s="2">
        <v>460.0555936570496</v>
      </c>
      <c r="K182" s="1">
        <f t="shared" si="2"/>
        <v>-394.99175216704964</v>
      </c>
      <c r="L182">
        <v>539</v>
      </c>
      <c r="O182" s="1"/>
    </row>
    <row r="183" spans="1:15" x14ac:dyDescent="0.35">
      <c r="A183" s="4">
        <v>44562</v>
      </c>
      <c r="B183" s="1">
        <v>7.1272100100082412</v>
      </c>
      <c r="C183" s="1">
        <v>112.44504871037546</v>
      </c>
      <c r="D183" s="1">
        <v>112.37793301315111</v>
      </c>
      <c r="E183" s="1">
        <v>107.19905924464793</v>
      </c>
      <c r="F183" s="1">
        <v>107.03284533884296</v>
      </c>
      <c r="G183" s="2">
        <v>70.493204437981035</v>
      </c>
      <c r="H183" s="2">
        <v>44.418739280390234</v>
      </c>
      <c r="I183" s="1">
        <v>64.220051199999745</v>
      </c>
      <c r="J183" s="2">
        <v>338.11434208340012</v>
      </c>
      <c r="K183" s="1">
        <f t="shared" si="2"/>
        <v>-273.89429088340034</v>
      </c>
      <c r="L183">
        <v>530</v>
      </c>
      <c r="O183" s="1"/>
    </row>
    <row r="184" spans="1:15" x14ac:dyDescent="0.35">
      <c r="A184" s="4">
        <v>44593</v>
      </c>
      <c r="B184" s="1">
        <v>7.5201178324164459</v>
      </c>
      <c r="C184" s="1">
        <v>113.14855088966938</v>
      </c>
      <c r="D184" s="1">
        <v>113.32351510398108</v>
      </c>
      <c r="E184" s="1">
        <v>107.47995032438592</v>
      </c>
      <c r="F184" s="1">
        <v>107.0937249850241</v>
      </c>
      <c r="G184" s="2">
        <v>76.210572108500514</v>
      </c>
      <c r="H184" s="2">
        <v>25.522643993924568</v>
      </c>
      <c r="I184" s="1">
        <v>67.383589319999999</v>
      </c>
      <c r="J184" s="2">
        <v>414.77033437728949</v>
      </c>
      <c r="K184" s="1">
        <f t="shared" si="2"/>
        <v>-347.38674505728949</v>
      </c>
      <c r="L184">
        <v>543</v>
      </c>
      <c r="O184" s="1"/>
    </row>
    <row r="185" spans="1:15" x14ac:dyDescent="0.35">
      <c r="A185" s="4">
        <v>44621</v>
      </c>
      <c r="B185" s="1">
        <v>10.014004548160244</v>
      </c>
      <c r="C185" s="1">
        <v>114.48973123874094</v>
      </c>
      <c r="D185" s="1">
        <v>115.32930866452503</v>
      </c>
      <c r="E185" s="1">
        <v>107.79807279891898</v>
      </c>
      <c r="F185" s="1">
        <v>107.16855651298651</v>
      </c>
      <c r="G185" s="2">
        <v>94.730336931989314</v>
      </c>
      <c r="H185" s="2">
        <v>46.48248830576248</v>
      </c>
      <c r="I185" s="1">
        <v>88.5999994900004</v>
      </c>
      <c r="J185" s="2">
        <v>493.91683028200976</v>
      </c>
      <c r="K185" s="1">
        <f t="shared" si="2"/>
        <v>-405.31683079200934</v>
      </c>
      <c r="L185">
        <v>535</v>
      </c>
      <c r="O185" s="1"/>
    </row>
    <row r="186" spans="1:15" x14ac:dyDescent="0.35">
      <c r="A186" s="4">
        <v>44652</v>
      </c>
      <c r="B186" s="1">
        <v>11.242145484145084</v>
      </c>
      <c r="C186" s="1">
        <v>115.16282277292316</v>
      </c>
      <c r="D186" s="1">
        <v>115.87899021244939</v>
      </c>
      <c r="E186" s="1">
        <v>108.44091444762631</v>
      </c>
      <c r="F186" s="1">
        <v>107.34794591104149</v>
      </c>
      <c r="G186" s="2">
        <v>108.11689161860495</v>
      </c>
      <c r="H186" s="2">
        <v>68.04193143802901</v>
      </c>
      <c r="I186" s="1">
        <v>90.168700180000002</v>
      </c>
      <c r="J186" s="2">
        <v>462.74172424388115</v>
      </c>
      <c r="K186" s="1">
        <f t="shared" si="2"/>
        <v>-372.57302406388112</v>
      </c>
      <c r="L186">
        <v>533</v>
      </c>
      <c r="O186" s="1"/>
    </row>
    <row r="187" spans="1:15" x14ac:dyDescent="0.35">
      <c r="A187" s="4">
        <v>44682</v>
      </c>
      <c r="B187" s="1">
        <v>12.473041675727515</v>
      </c>
      <c r="C187" s="1">
        <v>115.6107978949029</v>
      </c>
      <c r="D187" s="1">
        <v>116.64782124151625</v>
      </c>
      <c r="E187" s="1">
        <v>108.40031178235701</v>
      </c>
      <c r="F187" s="1">
        <v>107.22407338255007</v>
      </c>
      <c r="G187" s="2">
        <v>101.059758084937</v>
      </c>
      <c r="H187" s="2">
        <v>72.44450801051569</v>
      </c>
      <c r="I187" s="1">
        <v>94.9798203200003</v>
      </c>
      <c r="J187" s="2">
        <v>443.89201823325044</v>
      </c>
      <c r="K187" s="1">
        <f t="shared" si="2"/>
        <v>-348.91219791325011</v>
      </c>
      <c r="L187">
        <v>545</v>
      </c>
      <c r="O187" s="1"/>
    </row>
    <row r="188" spans="1:15" x14ac:dyDescent="0.35">
      <c r="A188" s="4">
        <v>44713</v>
      </c>
      <c r="B188" s="1">
        <v>14.069433239302782</v>
      </c>
      <c r="C188" s="1">
        <v>116.47943836457337</v>
      </c>
      <c r="D188" s="1">
        <v>117.12153565231621</v>
      </c>
      <c r="E188" s="1">
        <v>108.92136845428699</v>
      </c>
      <c r="F188" s="1">
        <v>107.47754453262688</v>
      </c>
      <c r="G188" s="2">
        <v>104.93109203730006</v>
      </c>
      <c r="H188" s="2">
        <v>68.752857969974499</v>
      </c>
      <c r="I188" s="1">
        <v>87.165994910000293</v>
      </c>
      <c r="J188" s="2">
        <v>492.83191782586061</v>
      </c>
      <c r="K188" s="1">
        <f t="shared" si="2"/>
        <v>-405.66592291586034</v>
      </c>
      <c r="L188">
        <v>546</v>
      </c>
      <c r="O188" s="1"/>
    </row>
    <row r="189" spans="1:15" x14ac:dyDescent="0.35">
      <c r="A189" s="4">
        <v>44743</v>
      </c>
      <c r="B189" s="1">
        <v>14.197282978154789</v>
      </c>
      <c r="C189" s="1">
        <v>117.03172988522485</v>
      </c>
      <c r="D189" s="1">
        <v>118.10376676742617</v>
      </c>
      <c r="E189" s="1">
        <v>109.63659507225798</v>
      </c>
      <c r="F189" s="1">
        <v>107.17768275821287</v>
      </c>
      <c r="G189" s="2">
        <v>114.89156969399652</v>
      </c>
      <c r="H189" s="2">
        <v>97.509646918062828</v>
      </c>
      <c r="I189" s="1">
        <v>79.780833220000105</v>
      </c>
      <c r="J189" s="2">
        <v>502.4</v>
      </c>
      <c r="K189" s="1">
        <f t="shared" si="2"/>
        <v>-422.61916677999989</v>
      </c>
      <c r="L189">
        <v>528</v>
      </c>
      <c r="O189" s="1"/>
    </row>
    <row r="190" spans="1:15" x14ac:dyDescent="0.35">
      <c r="A190" s="4">
        <v>44774</v>
      </c>
      <c r="B190" s="1">
        <v>13</v>
      </c>
      <c r="C190" s="1">
        <v>117.00941241425019</v>
      </c>
      <c r="D190" s="1">
        <v>118.28071066924699</v>
      </c>
      <c r="E190" s="1">
        <v>109.16999838156838</v>
      </c>
      <c r="F190" s="1">
        <v>107.18518886427948</v>
      </c>
      <c r="G190" s="2">
        <v>131.61510007092809</v>
      </c>
      <c r="H190" s="2">
        <v>86.641519674963519</v>
      </c>
      <c r="I190" s="1">
        <v>88.408053440000103</v>
      </c>
      <c r="J190" s="2">
        <v>526.82922753312903</v>
      </c>
      <c r="K190" s="1">
        <f t="shared" si="2"/>
        <v>-438.42117409312891</v>
      </c>
      <c r="L190">
        <v>530</v>
      </c>
      <c r="O190" s="1"/>
    </row>
    <row r="191" spans="1:15" x14ac:dyDescent="0.35">
      <c r="A191" s="4">
        <v>44805</v>
      </c>
      <c r="B191" s="1">
        <v>12.671083488048168</v>
      </c>
      <c r="C191" s="1">
        <v>115.65573030647985</v>
      </c>
      <c r="D191" s="1">
        <v>117.24618354498749</v>
      </c>
      <c r="E191" s="1">
        <v>107.6075265037049</v>
      </c>
      <c r="F191" s="1">
        <v>107.08781308131496</v>
      </c>
      <c r="G191" s="2">
        <v>102.61766615353385</v>
      </c>
      <c r="H191" s="2">
        <v>102.67214282054584</v>
      </c>
      <c r="I191" s="1">
        <v>90.84218986000019</v>
      </c>
      <c r="J191" s="2">
        <v>478.16976566350104</v>
      </c>
      <c r="K191" s="1">
        <f t="shared" si="2"/>
        <v>-387.32757580350085</v>
      </c>
      <c r="L191">
        <v>530</v>
      </c>
      <c r="O191" s="1"/>
    </row>
    <row r="192" spans="1:15" x14ac:dyDescent="0.35">
      <c r="A192" s="4">
        <v>44835</v>
      </c>
      <c r="B192" s="1">
        <v>12.7</v>
      </c>
      <c r="C192" s="1">
        <v>116.18225784956819</v>
      </c>
      <c r="D192" s="1">
        <v>117.90115105195575</v>
      </c>
      <c r="E192" s="1">
        <v>107.15083474473384</v>
      </c>
      <c r="F192" s="1">
        <v>107.26020066750948</v>
      </c>
      <c r="G192" s="2">
        <v>105.09487171177584</v>
      </c>
      <c r="H192" s="2">
        <v>36.761581971877277</v>
      </c>
      <c r="I192" s="1">
        <v>91.540495159999992</v>
      </c>
      <c r="J192" s="2">
        <v>488.49463983494979</v>
      </c>
      <c r="K192" s="1">
        <f t="shared" si="2"/>
        <v>-396.95414467494982</v>
      </c>
      <c r="L192">
        <v>535</v>
      </c>
      <c r="O192" s="1"/>
    </row>
    <row r="193" spans="1:15" x14ac:dyDescent="0.35">
      <c r="A193" s="4">
        <v>44866</v>
      </c>
      <c r="B193" s="1">
        <v>11.626511676301703</v>
      </c>
      <c r="C193" s="1">
        <v>116.67206395632756</v>
      </c>
      <c r="D193" s="1">
        <v>118.56588038075677</v>
      </c>
      <c r="E193" s="1">
        <v>107.36341719870413</v>
      </c>
      <c r="F193" s="1">
        <v>107.45467335486083</v>
      </c>
      <c r="G193" s="2">
        <v>94.96307952670071</v>
      </c>
      <c r="H193" s="2">
        <v>33.588570388135487</v>
      </c>
      <c r="I193" s="1">
        <v>80.06682567</v>
      </c>
      <c r="J193" s="2">
        <v>475.40956687300019</v>
      </c>
      <c r="K193" s="1">
        <f t="shared" si="2"/>
        <v>-395.34274120300017</v>
      </c>
      <c r="L193">
        <v>519</v>
      </c>
      <c r="O193" s="1"/>
    </row>
    <row r="194" spans="1:15" x14ac:dyDescent="0.35">
      <c r="A194" s="4">
        <v>44896</v>
      </c>
      <c r="B194" s="1">
        <v>12.096261662107736</v>
      </c>
      <c r="C194" s="1">
        <v>117.94141012804721</v>
      </c>
      <c r="D194" s="1">
        <v>119.77088261631944</v>
      </c>
      <c r="E194" s="1">
        <v>108.49782914456947</v>
      </c>
      <c r="F194" s="1">
        <v>107.72114298687292</v>
      </c>
      <c r="G194" s="2">
        <v>118.23559641147813</v>
      </c>
      <c r="H194" s="2">
        <v>49.18178576509353</v>
      </c>
      <c r="I194" s="1">
        <v>74.620239859999998</v>
      </c>
      <c r="J194" s="2">
        <v>521.43592345837021</v>
      </c>
      <c r="K194" s="1">
        <f t="shared" si="2"/>
        <v>-446.81568359837024</v>
      </c>
      <c r="L194">
        <v>559</v>
      </c>
      <c r="O194" s="1"/>
    </row>
    <row r="195" spans="1:15" x14ac:dyDescent="0.35">
      <c r="A195" s="4">
        <v>44927</v>
      </c>
      <c r="B195" s="1">
        <v>12</v>
      </c>
      <c r="C195" s="1">
        <v>118.2820532155486</v>
      </c>
      <c r="D195" s="1">
        <v>119.77818269954891</v>
      </c>
      <c r="E195" s="1">
        <v>109.08487670598066</v>
      </c>
      <c r="F195" s="1">
        <v>107.62880485964278</v>
      </c>
      <c r="G195" s="2">
        <v>84.0000290825989</v>
      </c>
      <c r="H195" s="2">
        <v>64.03617626965324</v>
      </c>
      <c r="I195" s="1">
        <v>62.388474130000198</v>
      </c>
      <c r="J195" s="2">
        <v>353.43531758948996</v>
      </c>
      <c r="K195" s="1">
        <f t="shared" si="2"/>
        <v>-291.04684345948976</v>
      </c>
      <c r="L195">
        <v>559</v>
      </c>
      <c r="O195" s="1"/>
    </row>
    <row r="196" spans="1:15" x14ac:dyDescent="0.35">
      <c r="A196" s="4">
        <v>44958</v>
      </c>
      <c r="B196" s="1">
        <v>10.5</v>
      </c>
      <c r="C196" s="1">
        <v>117.87501146439773</v>
      </c>
      <c r="D196" s="1">
        <v>119.13149745815107</v>
      </c>
      <c r="E196" s="1">
        <v>108.42850267394239</v>
      </c>
      <c r="F196" s="1">
        <v>107.61950297061355</v>
      </c>
      <c r="G196" s="2">
        <v>82.10803105647355</v>
      </c>
      <c r="H196" s="2">
        <v>56.593786023911434</v>
      </c>
      <c r="I196" s="1">
        <v>73.920423440000107</v>
      </c>
      <c r="J196" s="2">
        <v>390.68929283482004</v>
      </c>
      <c r="K196" s="1">
        <f t="shared" si="2"/>
        <v>-316.76886939481994</v>
      </c>
      <c r="L196">
        <v>623</v>
      </c>
      <c r="O196" s="1"/>
    </row>
    <row r="197" spans="1:15" x14ac:dyDescent="0.35">
      <c r="A197" s="4">
        <v>44986</v>
      </c>
      <c r="B197" s="1">
        <v>7.1</v>
      </c>
      <c r="C197" s="1">
        <v>116.98906211173924</v>
      </c>
      <c r="D197" s="1">
        <v>118.68624665706091</v>
      </c>
      <c r="E197" s="1">
        <v>107.06222362669662</v>
      </c>
      <c r="F197" s="1">
        <v>107.60215717906247</v>
      </c>
      <c r="G197" s="2">
        <v>105.15071792187709</v>
      </c>
      <c r="H197" s="2">
        <v>62.655885001762044</v>
      </c>
      <c r="I197" s="1">
        <v>82.660721700000053</v>
      </c>
      <c r="J197" s="2">
        <v>508.5796220147098</v>
      </c>
      <c r="K197" s="1">
        <f t="shared" si="2"/>
        <v>-425.91890031470973</v>
      </c>
      <c r="L197">
        <v>613</v>
      </c>
      <c r="O197" s="1"/>
    </row>
    <row r="198" spans="1:15" x14ac:dyDescent="0.35">
      <c r="A198" s="4">
        <v>45017</v>
      </c>
      <c r="B198" s="1">
        <v>5.6</v>
      </c>
      <c r="C198" s="1">
        <v>116.63170586887361</v>
      </c>
      <c r="D198" s="1">
        <v>117.96129537950165</v>
      </c>
      <c r="E198" s="1">
        <v>106.6418249763212</v>
      </c>
      <c r="F198" s="1">
        <v>107.69590958350651</v>
      </c>
      <c r="G198" s="2">
        <v>113.257080024243</v>
      </c>
      <c r="H198" s="2">
        <v>65.088615030992614</v>
      </c>
      <c r="I198" s="1">
        <v>67.834964110000001</v>
      </c>
      <c r="J198" s="2">
        <v>448.25900057495102</v>
      </c>
      <c r="K198" s="1">
        <f t="shared" si="2"/>
        <v>-380.42403646495103</v>
      </c>
      <c r="L198">
        <v>618</v>
      </c>
      <c r="O198" s="1"/>
    </row>
    <row r="199" spans="1:15" x14ac:dyDescent="0.35">
      <c r="A199" s="4">
        <v>45047</v>
      </c>
      <c r="B199" s="1">
        <v>4.3</v>
      </c>
      <c r="C199" s="1">
        <v>116.77071724550851</v>
      </c>
      <c r="D199" s="1">
        <v>117.89199288033224</v>
      </c>
      <c r="E199" s="1">
        <v>106.69040158843369</v>
      </c>
      <c r="F199" s="1">
        <v>107.68258901531567</v>
      </c>
      <c r="G199" s="2">
        <v>118.892163608819</v>
      </c>
      <c r="H199" s="2">
        <v>57.732427620899777</v>
      </c>
      <c r="I199" s="1">
        <v>76.452327009999905</v>
      </c>
      <c r="J199" s="2">
        <v>518.12586047919058</v>
      </c>
      <c r="K199" s="1">
        <f t="shared" si="2"/>
        <v>-441.67353346919066</v>
      </c>
      <c r="L199">
        <v>625</v>
      </c>
      <c r="O199" s="1"/>
    </row>
    <row r="200" spans="1:15" x14ac:dyDescent="0.35">
      <c r="A200" s="4">
        <v>45078</v>
      </c>
      <c r="B200" s="1">
        <v>2.8</v>
      </c>
      <c r="C200" s="1">
        <v>115.71298175257036</v>
      </c>
      <c r="D200" s="1">
        <v>115.66467552644291</v>
      </c>
      <c r="E200" s="1">
        <v>105.24206108350565</v>
      </c>
      <c r="F200" s="1">
        <v>108.29283588181482</v>
      </c>
      <c r="G200" s="2">
        <v>124.0495730167853</v>
      </c>
      <c r="H200" s="2">
        <v>64.982904086781033</v>
      </c>
      <c r="I200" s="1">
        <v>70.678752889999899</v>
      </c>
      <c r="J200" s="2">
        <v>467.37989026609017</v>
      </c>
      <c r="K200" s="1">
        <f t="shared" si="2"/>
        <v>-396.70113737609029</v>
      </c>
      <c r="L200">
        <v>639</v>
      </c>
      <c r="O200" s="1"/>
    </row>
    <row r="201" spans="1:15" x14ac:dyDescent="0.35">
      <c r="A201" s="4">
        <v>45108</v>
      </c>
      <c r="B201" s="1">
        <v>2.2999999999999998</v>
      </c>
      <c r="C201" s="1">
        <v>116.86371396233648</v>
      </c>
      <c r="D201" s="1">
        <v>115.8086589057677</v>
      </c>
      <c r="E201" s="1">
        <v>105.78212213744354</v>
      </c>
      <c r="F201" s="1">
        <v>108.98714194107603</v>
      </c>
      <c r="G201" s="2">
        <v>118.82148648499664</v>
      </c>
      <c r="H201" s="2">
        <v>70.497055172891777</v>
      </c>
      <c r="I201" s="1">
        <v>69.284504629999802</v>
      </c>
      <c r="J201" s="2">
        <v>512.05480582643975</v>
      </c>
      <c r="K201" s="1">
        <f t="shared" si="2"/>
        <v>-442.77030119643996</v>
      </c>
      <c r="L201">
        <v>638</v>
      </c>
      <c r="O201" s="1"/>
    </row>
    <row r="202" spans="1:15" x14ac:dyDescent="0.35">
      <c r="A202" s="4">
        <v>45139</v>
      </c>
      <c r="B202" s="1">
        <v>3.2</v>
      </c>
      <c r="C202" s="1">
        <v>117.61125032215837</v>
      </c>
      <c r="D202" s="1">
        <v>115.75794717110433</v>
      </c>
      <c r="E202" s="1">
        <v>106.3580143220949</v>
      </c>
      <c r="F202" s="1">
        <v>109.03804488656925</v>
      </c>
      <c r="G202" s="2">
        <v>141.74703095826277</v>
      </c>
      <c r="H202" s="2">
        <v>80.980538177203044</v>
      </c>
      <c r="I202" s="1">
        <v>68.312366850000004</v>
      </c>
      <c r="J202" s="2">
        <v>523.15386718095999</v>
      </c>
      <c r="K202" s="1">
        <f t="shared" si="2"/>
        <v>-454.84150033096</v>
      </c>
      <c r="L202">
        <v>624</v>
      </c>
      <c r="O202" s="1"/>
    </row>
    <row r="203" spans="1:15" x14ac:dyDescent="0.35">
      <c r="A203" s="4">
        <v>45170</v>
      </c>
      <c r="B203" s="1">
        <v>4.2</v>
      </c>
      <c r="C203" s="1">
        <v>118.22376899000477</v>
      </c>
      <c r="D203" s="1">
        <v>116.91711447400709</v>
      </c>
      <c r="E203" s="1">
        <v>106.90875539897256</v>
      </c>
      <c r="F203" s="1">
        <v>108.98280286525164</v>
      </c>
      <c r="G203" s="2">
        <v>113.60825182204357</v>
      </c>
      <c r="H203" s="2">
        <v>96.221652401379302</v>
      </c>
      <c r="I203" s="1">
        <v>80.635133599999989</v>
      </c>
      <c r="J203" s="2">
        <v>527.040912952751</v>
      </c>
      <c r="K203" s="1">
        <f t="shared" si="2"/>
        <v>-446.40577935275098</v>
      </c>
      <c r="L203">
        <v>623</v>
      </c>
      <c r="O203" s="1"/>
    </row>
    <row r="204" spans="1:15" x14ac:dyDescent="0.35">
      <c r="A204" s="4">
        <v>45200</v>
      </c>
      <c r="B204" s="1">
        <v>3.3</v>
      </c>
      <c r="C204" s="1">
        <v>117.92972105125045</v>
      </c>
      <c r="D204" s="1">
        <v>118.34700709721128</v>
      </c>
      <c r="E204" s="1">
        <v>106.77770595687059</v>
      </c>
      <c r="F204" s="1">
        <v>108.97042491066648</v>
      </c>
      <c r="G204" s="2">
        <v>107.19008806944443</v>
      </c>
      <c r="H204" s="2">
        <v>72.782838944237611</v>
      </c>
      <c r="I204" s="1">
        <v>80.446060750000029</v>
      </c>
      <c r="J204" s="2">
        <v>526.97181968446898</v>
      </c>
      <c r="K204" s="1">
        <f t="shared" si="2"/>
        <v>-446.52575893446897</v>
      </c>
      <c r="L204">
        <v>630</v>
      </c>
      <c r="O204" s="1"/>
    </row>
    <row r="205" spans="1:15" x14ac:dyDescent="0.35">
      <c r="A205" s="4">
        <v>45231</v>
      </c>
      <c r="B205" s="1">
        <v>2.9</v>
      </c>
      <c r="C205" s="1">
        <v>117.86332744730694</v>
      </c>
      <c r="D205" s="1">
        <v>116.00420851167293</v>
      </c>
      <c r="E205" s="1">
        <v>107.38807844240854</v>
      </c>
      <c r="F205" s="1">
        <v>109.13743040140386</v>
      </c>
      <c r="G205" s="2">
        <v>99.034972280994978</v>
      </c>
      <c r="H205" s="2">
        <v>57.665240908262106</v>
      </c>
      <c r="I205" s="1">
        <v>76.499855140000022</v>
      </c>
      <c r="J205" s="2">
        <v>593.78327226700003</v>
      </c>
      <c r="K205" s="1">
        <f t="shared" si="2"/>
        <v>-517.28341712700001</v>
      </c>
      <c r="L205">
        <v>698</v>
      </c>
      <c r="O205" s="1"/>
    </row>
    <row r="206" spans="1:15" x14ac:dyDescent="0.35">
      <c r="A206" s="4">
        <v>45261</v>
      </c>
      <c r="B206" s="1">
        <v>2.2999999999999998</v>
      </c>
      <c r="C206" s="1">
        <v>118.26772724604199</v>
      </c>
      <c r="D206" s="1">
        <v>116.56256761611537</v>
      </c>
      <c r="E206" s="1">
        <v>107.7200354082274</v>
      </c>
      <c r="F206" s="1">
        <v>109.14429647826422</v>
      </c>
      <c r="G206" s="2">
        <v>127.90231044281266</v>
      </c>
      <c r="H206" s="2">
        <v>90.859107376496965</v>
      </c>
      <c r="I206" s="1">
        <v>65.362372799999989</v>
      </c>
      <c r="J206" s="2">
        <v>543.08493925219898</v>
      </c>
      <c r="K206" s="1">
        <f t="shared" si="2"/>
        <v>-477.72256645219898</v>
      </c>
      <c r="L206">
        <v>668</v>
      </c>
      <c r="O206" s="1"/>
    </row>
    <row r="207" spans="1:15" x14ac:dyDescent="0.35">
      <c r="A207" s="4">
        <v>45292</v>
      </c>
      <c r="B207" s="1">
        <v>1.8</v>
      </c>
      <c r="C207" s="1">
        <v>119.04176115178846</v>
      </c>
      <c r="D207" s="1">
        <v>116.4376125569713</v>
      </c>
      <c r="E207" s="1">
        <v>109.18639649345883</v>
      </c>
      <c r="F207" s="1">
        <v>109.27808225212947</v>
      </c>
      <c r="G207" s="2">
        <v>86.363458075951314</v>
      </c>
      <c r="H207" s="2">
        <v>81.075731741852564</v>
      </c>
      <c r="I207" s="1">
        <v>60.321255819999998</v>
      </c>
      <c r="J207" s="2">
        <v>380.75960316009952</v>
      </c>
      <c r="K207" s="1">
        <f t="shared" si="2"/>
        <v>-320.43834734009954</v>
      </c>
      <c r="L207">
        <v>665</v>
      </c>
      <c r="O207" s="1"/>
    </row>
    <row r="208" spans="1:15" x14ac:dyDescent="0.35">
      <c r="A208" s="4">
        <v>45323</v>
      </c>
      <c r="B208" s="1">
        <v>2.2000000000000002</v>
      </c>
      <c r="C208" s="1">
        <v>119.66845356606466</v>
      </c>
      <c r="D208" s="1">
        <v>118.34661480410942</v>
      </c>
      <c r="E208" s="1">
        <v>108.69084661821682</v>
      </c>
      <c r="F208" s="1">
        <v>109.47528550673637</v>
      </c>
      <c r="G208" s="2">
        <v>85.584070994052652</v>
      </c>
      <c r="H208" s="2">
        <v>80.296157527921494</v>
      </c>
      <c r="I208" s="1">
        <v>70.313468669999978</v>
      </c>
      <c r="J208" s="2">
        <v>470.6152129116104</v>
      </c>
      <c r="K208" s="1">
        <f t="shared" si="2"/>
        <v>-400.30174424161044</v>
      </c>
      <c r="L208">
        <v>665</v>
      </c>
      <c r="O208" s="1"/>
    </row>
    <row r="209" spans="1:15" x14ac:dyDescent="0.35">
      <c r="A209" s="4">
        <v>45352</v>
      </c>
      <c r="B209" s="1">
        <v>2.2999999999999998</v>
      </c>
      <c r="C209" s="1">
        <v>118.87022711524742</v>
      </c>
      <c r="D209" s="1">
        <v>117.39716725858268</v>
      </c>
      <c r="E209" s="1">
        <v>107.65532391132686</v>
      </c>
      <c r="F209" s="1">
        <v>109.68665027486759</v>
      </c>
      <c r="G209" s="2">
        <v>109.07536906320253</v>
      </c>
      <c r="H209" s="2">
        <v>53.767847011038334</v>
      </c>
      <c r="I209" s="1">
        <v>80.538659810000027</v>
      </c>
      <c r="J209" s="2">
        <v>520.18502151121004</v>
      </c>
      <c r="K209" s="1">
        <f t="shared" si="2"/>
        <v>-439.64636170121003</v>
      </c>
      <c r="L209">
        <v>662</v>
      </c>
      <c r="O209" s="1"/>
    </row>
    <row r="210" spans="1:15" x14ac:dyDescent="0.35">
      <c r="A210" s="4">
        <v>45383</v>
      </c>
      <c r="B210" s="1">
        <v>2.4</v>
      </c>
      <c r="C210" s="1">
        <v>118.77741099681599</v>
      </c>
      <c r="D210" s="1">
        <v>117.24045825585158</v>
      </c>
      <c r="E210" s="1">
        <v>107.0996874874016</v>
      </c>
      <c r="F210" s="1">
        <v>109.54955872239829</v>
      </c>
      <c r="G210" s="2">
        <v>113.21953847443049</v>
      </c>
      <c r="H210" s="2">
        <v>60.498399055609127</v>
      </c>
      <c r="I210" s="1">
        <v>73.199655240000027</v>
      </c>
      <c r="J210" s="2">
        <v>503.94626048062901</v>
      </c>
      <c r="K210" s="1">
        <f t="shared" si="2"/>
        <v>-430.74660524062898</v>
      </c>
      <c r="L210">
        <v>663</v>
      </c>
      <c r="O210" s="1"/>
    </row>
    <row r="211" spans="1:15" x14ac:dyDescent="0.35">
      <c r="A211" s="4">
        <v>45413</v>
      </c>
      <c r="B211" s="1">
        <v>2.4</v>
      </c>
      <c r="C211" s="1">
        <v>118.24952324866064</v>
      </c>
      <c r="D211" s="1">
        <v>116.48671361288328</v>
      </c>
      <c r="E211" s="1">
        <v>106.63313440094613</v>
      </c>
      <c r="F211" s="1">
        <v>109.61067760855899</v>
      </c>
      <c r="G211" s="2">
        <v>118.72137254873824</v>
      </c>
      <c r="H211" s="2">
        <v>76.482197404071613</v>
      </c>
      <c r="I211" s="1">
        <v>85.685347950000235</v>
      </c>
      <c r="J211" s="2">
        <v>516.29999999999995</v>
      </c>
      <c r="K211" s="1">
        <f t="shared" si="2"/>
        <v>-430.61465204999973</v>
      </c>
      <c r="L211">
        <v>663</v>
      </c>
      <c r="O211" s="1"/>
    </row>
    <row r="212" spans="1:15" x14ac:dyDescent="0.35">
      <c r="A212" s="4">
        <v>45444</v>
      </c>
      <c r="B212" s="1">
        <v>2.4</v>
      </c>
      <c r="C212" s="1">
        <v>118.36565672586033</v>
      </c>
      <c r="D212" s="1">
        <v>117.36090599050543</v>
      </c>
      <c r="E212" s="1">
        <v>106.3046323502918</v>
      </c>
      <c r="F212" s="1">
        <v>109.49486709781301</v>
      </c>
      <c r="G212" s="2">
        <v>117.10339148665965</v>
      </c>
      <c r="H212" s="2">
        <v>66.989794549478574</v>
      </c>
      <c r="I212" s="1">
        <v>73.374152689999988</v>
      </c>
      <c r="J212" s="2">
        <v>510</v>
      </c>
      <c r="K212" s="1">
        <f t="shared" si="2"/>
        <v>-436.62584731000004</v>
      </c>
      <c r="L212">
        <v>675</v>
      </c>
      <c r="O212" s="1"/>
    </row>
    <row r="213" spans="1:15" x14ac:dyDescent="0.35">
      <c r="A213" s="4">
        <v>45474</v>
      </c>
      <c r="B213" s="1">
        <v>2.2000000000000002</v>
      </c>
      <c r="C213" s="1">
        <v>118.24998818610243</v>
      </c>
      <c r="D213" s="1">
        <v>116.82819149248832</v>
      </c>
      <c r="E213" s="1">
        <v>106.41411317255978</v>
      </c>
      <c r="F213" s="1">
        <v>109.61231924488384</v>
      </c>
      <c r="G213" s="2">
        <v>123.72286367939249</v>
      </c>
      <c r="H213" s="2">
        <v>75.229860000000002</v>
      </c>
      <c r="I213" s="1">
        <v>86.068143750000004</v>
      </c>
      <c r="J213" s="2">
        <v>593.24299289999999</v>
      </c>
      <c r="K213" s="1">
        <f t="shared" si="2"/>
        <v>-507.17484915</v>
      </c>
      <c r="L213">
        <v>664</v>
      </c>
      <c r="O213" s="1"/>
    </row>
    <row r="214" spans="1:15" x14ac:dyDescent="0.35">
      <c r="A214" s="4">
        <v>45505</v>
      </c>
      <c r="B214" s="1">
        <v>1.4</v>
      </c>
      <c r="C214" s="1">
        <v>118.49898572785119</v>
      </c>
      <c r="D214" s="1">
        <v>117.00503165293749</v>
      </c>
      <c r="E214" s="1">
        <v>106.54377529519226</v>
      </c>
      <c r="F214" s="1">
        <v>109.68007111113633</v>
      </c>
      <c r="G214" s="2">
        <v>141.94857442824255</v>
      </c>
      <c r="H214" s="2">
        <v>76.868600000000001</v>
      </c>
      <c r="I214" s="1">
        <v>83.556857200000053</v>
      </c>
      <c r="J214" s="2">
        <v>588.17512671659915</v>
      </c>
      <c r="K214" s="1">
        <f t="shared" si="2"/>
        <v>-504.61826951659907</v>
      </c>
      <c r="L214">
        <v>660</v>
      </c>
      <c r="O214" s="1"/>
    </row>
    <row r="215" spans="1:15" x14ac:dyDescent="0.35">
      <c r="A215" s="4">
        <v>45536</v>
      </c>
      <c r="B215" s="1">
        <v>0.2</v>
      </c>
      <c r="C215" s="1">
        <v>118.20360662584685</v>
      </c>
      <c r="D215" s="1">
        <v>116.50344654764598</v>
      </c>
      <c r="E215" s="1">
        <v>106.30493721798796</v>
      </c>
      <c r="F215" s="1">
        <v>109.71416280895087</v>
      </c>
      <c r="G215" s="2">
        <v>115.070608606173</v>
      </c>
      <c r="H215" s="2">
        <v>92.864189999999994</v>
      </c>
      <c r="I215" s="1">
        <v>77.544223050000127</v>
      </c>
      <c r="J215" s="2">
        <v>509.47494544542013</v>
      </c>
      <c r="K215" s="1">
        <f t="shared" si="2"/>
        <v>-431.93072239541999</v>
      </c>
      <c r="L215">
        <v>670</v>
      </c>
      <c r="O215" s="1"/>
    </row>
    <row r="216" spans="1:15" x14ac:dyDescent="0.35">
      <c r="A216" s="4">
        <v>45566</v>
      </c>
      <c r="B216" s="1">
        <v>0.4</v>
      </c>
      <c r="C216" s="1">
        <v>118.3568165586918</v>
      </c>
      <c r="D216" s="1">
        <v>117.25959793461132</v>
      </c>
      <c r="E216" s="1">
        <v>106.08125487954969</v>
      </c>
      <c r="F216" s="1">
        <v>109.54353768889425</v>
      </c>
      <c r="G216" s="2">
        <v>111.97582322302999</v>
      </c>
      <c r="H216" s="2">
        <v>55.613421555692241</v>
      </c>
      <c r="I216" s="1">
        <v>87.326260540000007</v>
      </c>
      <c r="J216" s="2">
        <v>580.29152722126048</v>
      </c>
      <c r="K216" s="1">
        <f t="shared" si="2"/>
        <v>-492.96526668126046</v>
      </c>
      <c r="L216">
        <v>662</v>
      </c>
      <c r="O216" s="1"/>
    </row>
    <row r="217" spans="1:15" x14ac:dyDescent="0.35">
      <c r="A217" s="4">
        <v>45597</v>
      </c>
      <c r="B217" s="1">
        <v>0.7</v>
      </c>
      <c r="C217" s="1">
        <v>118.33615771720756</v>
      </c>
      <c r="D217" s="1">
        <v>116.88344746003895</v>
      </c>
      <c r="E217" s="1">
        <v>106.53692770000099</v>
      </c>
      <c r="F217" s="1">
        <v>109.39717302070797</v>
      </c>
      <c r="G217" s="2">
        <v>101.93356721805038</v>
      </c>
      <c r="H217" s="2">
        <v>60.151390153383964</v>
      </c>
      <c r="I217" s="1">
        <v>96.061664890000046</v>
      </c>
      <c r="J217" s="2">
        <v>566.9410371373998</v>
      </c>
      <c r="K217" s="1">
        <f t="shared" si="2"/>
        <v>-470.87937224739977</v>
      </c>
      <c r="L217">
        <v>665</v>
      </c>
      <c r="O217" s="1"/>
    </row>
    <row r="218" spans="1:15" x14ac:dyDescent="0.35">
      <c r="A218" s="4">
        <v>45627</v>
      </c>
      <c r="B218" s="1">
        <v>1.1000000000000001</v>
      </c>
      <c r="C218" s="1">
        <v>118.72758743220419</v>
      </c>
      <c r="D218" s="1">
        <v>117.36576203778201</v>
      </c>
      <c r="E218" s="1">
        <v>106.95120715297482</v>
      </c>
      <c r="F218" s="1">
        <v>109.36195574111356</v>
      </c>
      <c r="G218" s="2">
        <v>130.29233639864157</v>
      </c>
      <c r="H218" s="2">
        <v>67.606776644128445</v>
      </c>
      <c r="I218" s="1">
        <v>69.614329060000003</v>
      </c>
      <c r="J218" s="2">
        <v>631.17720440643939</v>
      </c>
      <c r="K218" s="1">
        <f t="shared" si="2"/>
        <v>-561.56287534643934</v>
      </c>
      <c r="L218">
        <v>704</v>
      </c>
      <c r="M218" s="1"/>
      <c r="N218" s="1"/>
      <c r="O218" s="1"/>
    </row>
    <row r="219" spans="1:15" x14ac:dyDescent="0.35">
      <c r="A219" s="4">
        <v>45658</v>
      </c>
      <c r="B219" s="1">
        <v>1.5</v>
      </c>
      <c r="C219" s="1">
        <v>119.44213339797008</v>
      </c>
      <c r="D219" s="1">
        <v>118.0345152869337</v>
      </c>
      <c r="E219" s="1">
        <v>108.74437593669089</v>
      </c>
      <c r="F219" s="1">
        <v>109.40369063031345</v>
      </c>
      <c r="G219" s="2">
        <v>86.135294414805458</v>
      </c>
      <c r="H219" s="2">
        <v>78.578813888723332</v>
      </c>
      <c r="I219" s="1">
        <v>59.68146859000003</v>
      </c>
      <c r="J219" s="2">
        <v>473.87362247965046</v>
      </c>
      <c r="K219" s="1">
        <f t="shared" si="2"/>
        <v>-414.19215388965046</v>
      </c>
      <c r="L219">
        <v>736</v>
      </c>
      <c r="O219" s="1"/>
    </row>
    <row r="220" spans="1:15" x14ac:dyDescent="0.35">
      <c r="A220" s="4">
        <v>45689</v>
      </c>
      <c r="B220" s="1">
        <v>1.7</v>
      </c>
      <c r="C220" s="1">
        <v>119.62897844247367</v>
      </c>
      <c r="D220" s="1">
        <v>118.06469921480571</v>
      </c>
      <c r="E220" s="1">
        <v>107.65299874234387</v>
      </c>
      <c r="F220" s="1">
        <v>109.54411899626875</v>
      </c>
      <c r="G220" s="2">
        <v>87.964173439578971</v>
      </c>
      <c r="H220" s="2">
        <v>61.226485415806934</v>
      </c>
      <c r="I220" s="1">
        <v>67.267269309999961</v>
      </c>
      <c r="J220" s="2">
        <v>518.68589453513016</v>
      </c>
      <c r="K220" s="1">
        <f t="shared" si="2"/>
        <v>-451.4186252251302</v>
      </c>
      <c r="L220">
        <v>736</v>
      </c>
      <c r="O220" s="1"/>
    </row>
    <row r="221" spans="1:15" x14ac:dyDescent="0.35">
      <c r="A221" s="4">
        <v>45717</v>
      </c>
      <c r="B221" s="1">
        <v>2.9</v>
      </c>
      <c r="C221" s="1">
        <v>121.42705871123098</v>
      </c>
      <c r="D221" s="1">
        <v>120.330924662775</v>
      </c>
      <c r="E221" s="1">
        <v>107.99038638086374</v>
      </c>
      <c r="F221" s="1">
        <v>110.02899333526828</v>
      </c>
      <c r="G221" s="2">
        <v>117.17192997217505</v>
      </c>
      <c r="H221" s="2">
        <v>57.81557662947732</v>
      </c>
      <c r="I221" s="1">
        <v>74.746468609999781</v>
      </c>
      <c r="J221" s="2">
        <v>610.5513243369079</v>
      </c>
      <c r="K221" s="1">
        <f t="shared" si="2"/>
        <v>-535.80485572690816</v>
      </c>
      <c r="L221">
        <v>691</v>
      </c>
    </row>
    <row r="222" spans="1:15" x14ac:dyDescent="0.35">
      <c r="A222" s="4">
        <v>45748</v>
      </c>
      <c r="B222" s="1">
        <v>3</v>
      </c>
      <c r="C222" s="1">
        <v>121.39713715761786</v>
      </c>
      <c r="D222" s="1">
        <v>119.63285735238816</v>
      </c>
      <c r="E222" s="1">
        <v>107.71532716898014</v>
      </c>
      <c r="F222" s="1">
        <v>110.41702952981009</v>
      </c>
      <c r="G222" s="2">
        <v>112.23578726977445</v>
      </c>
      <c r="H222" s="2">
        <v>79.164041708088106</v>
      </c>
      <c r="I222" s="1">
        <v>73.856873270000136</v>
      </c>
      <c r="J222" s="2">
        <v>566.19912793999868</v>
      </c>
      <c r="K222" s="1">
        <f t="shared" si="2"/>
        <v>-492.34225466999851</v>
      </c>
      <c r="L222">
        <v>724</v>
      </c>
      <c r="N222" s="5"/>
    </row>
    <row r="223" spans="1:15" x14ac:dyDescent="0.35">
      <c r="A223" s="4">
        <v>45778</v>
      </c>
      <c r="B223" s="1">
        <v>3.6</v>
      </c>
      <c r="C223" s="1">
        <v>121.69256643581603</v>
      </c>
      <c r="D223" s="1">
        <v>119.79490592523612</v>
      </c>
      <c r="E223" s="1">
        <v>107.96327145646141</v>
      </c>
      <c r="F223" s="1">
        <v>110.42538479381589</v>
      </c>
      <c r="G223" s="2">
        <v>127.56391767361281</v>
      </c>
      <c r="H223" s="2">
        <v>88.068964644880538</v>
      </c>
      <c r="I223" s="1">
        <v>81.359050559999986</v>
      </c>
      <c r="J223" s="2">
        <v>604.72122668999896</v>
      </c>
      <c r="K223" s="1">
        <f t="shared" si="2"/>
        <v>-523.36217612999894</v>
      </c>
      <c r="L223">
        <v>728</v>
      </c>
    </row>
    <row r="224" spans="1:15" x14ac:dyDescent="0.35">
      <c r="A224" s="4">
        <v>45809</v>
      </c>
      <c r="B224" s="1">
        <v>4.3</v>
      </c>
      <c r="C224" s="1">
        <v>122.53370165944386</v>
      </c>
      <c r="D224" s="1">
        <v>120.37641345378479</v>
      </c>
      <c r="E224" s="1">
        <v>108.36640943746927</v>
      </c>
      <c r="F224" s="1">
        <v>110.7008858456432</v>
      </c>
      <c r="G224" s="2">
        <v>123.71959358094564</v>
      </c>
      <c r="I224" s="1">
        <v>80.359370059999932</v>
      </c>
      <c r="J224" s="2">
        <v>578.68456773999867</v>
      </c>
      <c r="K224" s="1">
        <f t="shared" si="2"/>
        <v>-498.32519767999872</v>
      </c>
      <c r="L224">
        <v>724</v>
      </c>
    </row>
    <row r="225" spans="10:10" x14ac:dyDescent="0.35">
      <c r="J225" s="1"/>
    </row>
    <row r="226" spans="10:10" x14ac:dyDescent="0.35">
      <c r="J226" s="1"/>
    </row>
    <row r="227" spans="10:10" x14ac:dyDescent="0.35">
      <c r="J227" s="1"/>
    </row>
    <row r="228" spans="10:10" x14ac:dyDescent="0.35">
      <c r="J228" s="1"/>
    </row>
    <row r="229" spans="10:10" x14ac:dyDescent="0.35">
      <c r="J229" s="1"/>
    </row>
    <row r="230" spans="10:10" x14ac:dyDescent="0.35">
      <c r="J230" s="1"/>
    </row>
    <row r="231" spans="10:10" x14ac:dyDescent="0.35">
      <c r="J231" s="1"/>
    </row>
    <row r="232" spans="10:10" x14ac:dyDescent="0.35">
      <c r="J232" s="1"/>
    </row>
    <row r="233" spans="10:10" x14ac:dyDescent="0.35">
      <c r="J2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Quarter</vt:lpstr>
      <vt:lpstr>Annual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TIBILETTI</dc:creator>
  <cp:lastModifiedBy>Emanuele Pedroni</cp:lastModifiedBy>
  <dcterms:created xsi:type="dcterms:W3CDTF">2026-05-05T14:33:19Z</dcterms:created>
  <dcterms:modified xsi:type="dcterms:W3CDTF">2026-06-13T16:44:35Z</dcterms:modified>
</cp:coreProperties>
</file>