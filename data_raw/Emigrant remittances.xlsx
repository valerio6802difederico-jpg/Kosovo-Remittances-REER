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pe\Documents\MELE\Data Mining for Computational Statistics\Progetto\Data_mining_project\data_raw\"/>
    </mc:Choice>
  </mc:AlternateContent>
  <xr:revisionPtr revIDLastSave="0" documentId="13_ncr:1_{5AC28FAF-8990-4974-AC27-E728D2B1482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rgesat e emigranteve " sheetId="1" r:id="rId1"/>
    <sheet name="Remitta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HNy2S/Cz6+CsUy4CMSgKV0VaTJdJYS6FgRuC02MKpo="/>
    </ext>
  </extLst>
</workbook>
</file>

<file path=xl/calcChain.xml><?xml version="1.0" encoding="utf-8"?>
<calcChain xmlns="http://schemas.openxmlformats.org/spreadsheetml/2006/main">
  <c r="F67" i="2" l="1"/>
  <c r="F66" i="2"/>
  <c r="F65" i="2"/>
  <c r="BO38" i="1"/>
  <c r="BN38" i="1"/>
  <c r="BM38" i="1"/>
  <c r="BO37" i="1"/>
  <c r="BN37" i="1"/>
  <c r="BM37" i="1"/>
  <c r="BO36" i="1"/>
  <c r="BN36" i="1"/>
  <c r="BM36" i="1"/>
  <c r="FX35" i="1"/>
  <c r="EL35" i="1"/>
  <c r="BO35" i="1"/>
  <c r="BN35" i="1"/>
  <c r="BM35" i="1"/>
</calcChain>
</file>

<file path=xl/sharedStrings.xml><?xml version="1.0" encoding="utf-8"?>
<sst xmlns="http://schemas.openxmlformats.org/spreadsheetml/2006/main" count="412" uniqueCount="134">
  <si>
    <t>Dergesat e emigranteve</t>
  </si>
  <si>
    <t>Baza vjetore</t>
  </si>
  <si>
    <t>https://bqk-kos.org/statistikat/serite-kohore/</t>
  </si>
  <si>
    <t>Dergesat e emigranteve sipas kanaleve</t>
  </si>
  <si>
    <t>Gjithsej dërgesat e migrantëv</t>
  </si>
  <si>
    <t>Bankat</t>
  </si>
  <si>
    <t>.</t>
  </si>
  <si>
    <t>Agjencitë për transfer të mjeteve</t>
  </si>
  <si>
    <t>Tjera</t>
  </si>
  <si>
    <t>Dergesat e emigranteve sipas shteteve</t>
  </si>
  <si>
    <t>T1</t>
  </si>
  <si>
    <t>T2</t>
  </si>
  <si>
    <t>T3</t>
  </si>
  <si>
    <t>2009 T4</t>
  </si>
  <si>
    <t>2010 T4</t>
  </si>
  <si>
    <t>2011 T4</t>
  </si>
  <si>
    <t>2012 T4</t>
  </si>
  <si>
    <t>2013 T4</t>
  </si>
  <si>
    <t xml:space="preserve"> T1</t>
  </si>
  <si>
    <t xml:space="preserve"> T2</t>
  </si>
  <si>
    <t xml:space="preserve"> T3</t>
  </si>
  <si>
    <t>2014 T4</t>
  </si>
  <si>
    <t>2015 T4</t>
  </si>
  <si>
    <t>2016 T4</t>
  </si>
  <si>
    <t>2017 T4</t>
  </si>
  <si>
    <t>2018 T4</t>
  </si>
  <si>
    <t>2019 T4</t>
  </si>
  <si>
    <t xml:space="preserve">  T1</t>
  </si>
  <si>
    <t xml:space="preserve">  T2</t>
  </si>
  <si>
    <t>2020 T4</t>
  </si>
  <si>
    <t>2021 T4</t>
  </si>
  <si>
    <t>2022 T4</t>
  </si>
  <si>
    <t>2023 T4</t>
  </si>
  <si>
    <t>Gjithsej</t>
  </si>
  <si>
    <t>Gjermania</t>
  </si>
  <si>
    <t>Zvicrra</t>
  </si>
  <si>
    <t>Italia</t>
  </si>
  <si>
    <t>Austria</t>
  </si>
  <si>
    <t>Belgjika</t>
  </si>
  <si>
    <t>SHBA</t>
  </si>
  <si>
    <t>Suedia</t>
  </si>
  <si>
    <t>Franca</t>
  </si>
  <si>
    <t>Norvegjia</t>
  </si>
  <si>
    <t>Kanada</t>
  </si>
  <si>
    <t>Mbretëria e Bashkuar</t>
  </si>
  <si>
    <t>Danimarka</t>
  </si>
  <si>
    <t>Finlanda</t>
  </si>
  <si>
    <t>Holanda</t>
  </si>
  <si>
    <t>Sllovenija</t>
  </si>
  <si>
    <t>Vende tjera</t>
  </si>
  <si>
    <t>Baza kuartale</t>
  </si>
  <si>
    <t xml:space="preserve"> T1 </t>
  </si>
  <si>
    <t xml:space="preserve">T2 </t>
  </si>
  <si>
    <t xml:space="preserve">T3 </t>
  </si>
  <si>
    <t xml:space="preserve">2009 T4 </t>
  </si>
  <si>
    <t xml:space="preserve">2010 T4 </t>
  </si>
  <si>
    <t xml:space="preserve"> 2011 T4 </t>
  </si>
  <si>
    <t xml:space="preserve">  T3</t>
  </si>
  <si>
    <t>2016  T4</t>
  </si>
  <si>
    <t xml:space="preserve"> 2018 T4</t>
  </si>
  <si>
    <t xml:space="preserve">   T2</t>
  </si>
  <si>
    <t xml:space="preserve">   T3</t>
  </si>
  <si>
    <t xml:space="preserve"> 2019 T4</t>
  </si>
  <si>
    <t xml:space="preserve">  T1 </t>
  </si>
  <si>
    <t xml:space="preserve">  T2 </t>
  </si>
  <si>
    <t xml:space="preserve">  T3 </t>
  </si>
  <si>
    <t xml:space="preserve">2020  T4 </t>
  </si>
  <si>
    <t xml:space="preserve">2021  T4 </t>
  </si>
  <si>
    <t xml:space="preserve">2022  T4 </t>
  </si>
  <si>
    <t xml:space="preserve">  T4 2024</t>
  </si>
  <si>
    <t xml:space="preserve">  T1 2025</t>
  </si>
  <si>
    <t xml:space="preserve"> Janar</t>
  </si>
  <si>
    <t>Shkurt</t>
  </si>
  <si>
    <t>Mars</t>
  </si>
  <si>
    <t>Prill</t>
  </si>
  <si>
    <t>Maj</t>
  </si>
  <si>
    <t>Qershor</t>
  </si>
  <si>
    <t>Korrik</t>
  </si>
  <si>
    <t>Gusht</t>
  </si>
  <si>
    <t>Shtator</t>
  </si>
  <si>
    <t>Tetor</t>
  </si>
  <si>
    <t>Nëntor</t>
  </si>
  <si>
    <t>2014 Dhjetor</t>
  </si>
  <si>
    <t xml:space="preserve"> Shkurt</t>
  </si>
  <si>
    <t xml:space="preserve"> Mars</t>
  </si>
  <si>
    <t>2015 Dhjetor</t>
  </si>
  <si>
    <t xml:space="preserve"> Nëntor</t>
  </si>
  <si>
    <t>2016 Dhjetor</t>
  </si>
  <si>
    <t>2017 Dhjetor</t>
  </si>
  <si>
    <t>2018 Dhjetor</t>
  </si>
  <si>
    <t xml:space="preserve"> Prill</t>
  </si>
  <si>
    <t xml:space="preserve"> Maj</t>
  </si>
  <si>
    <t xml:space="preserve"> Qershor</t>
  </si>
  <si>
    <t xml:space="preserve"> Gusht</t>
  </si>
  <si>
    <t xml:space="preserve"> Shtator</t>
  </si>
  <si>
    <t xml:space="preserve">  Nëntor</t>
  </si>
  <si>
    <t>2019 Dhjetor</t>
  </si>
  <si>
    <t xml:space="preserve">  Qershor</t>
  </si>
  <si>
    <t xml:space="preserve"> Korrik</t>
  </si>
  <si>
    <t xml:space="preserve">  Shtator</t>
  </si>
  <si>
    <t xml:space="preserve"> Tetor</t>
  </si>
  <si>
    <t>2020 Dhjetor</t>
  </si>
  <si>
    <t xml:space="preserve">  Shtator </t>
  </si>
  <si>
    <t xml:space="preserve">2021 Dhjetor </t>
  </si>
  <si>
    <t>Janar</t>
  </si>
  <si>
    <t xml:space="preserve"> Mars </t>
  </si>
  <si>
    <t xml:space="preserve">Korrik </t>
  </si>
  <si>
    <t xml:space="preserve">Tetor </t>
  </si>
  <si>
    <t>2022 Dhjetor</t>
  </si>
  <si>
    <t xml:space="preserve">  Qershor </t>
  </si>
  <si>
    <t xml:space="preserve"> Gusht </t>
  </si>
  <si>
    <t xml:space="preserve"> Shtator </t>
  </si>
  <si>
    <t xml:space="preserve"> Tetor  </t>
  </si>
  <si>
    <t xml:space="preserve">  Nëntor </t>
  </si>
  <si>
    <t xml:space="preserve">2023 Dhjetor </t>
  </si>
  <si>
    <t xml:space="preserve">2024 Janar </t>
  </si>
  <si>
    <t xml:space="preserve">Shkurt </t>
  </si>
  <si>
    <t xml:space="preserve">Mars </t>
  </si>
  <si>
    <t xml:space="preserve">Prill </t>
  </si>
  <si>
    <t xml:space="preserve">Tetor   </t>
  </si>
  <si>
    <t>2024 Dhjetor</t>
  </si>
  <si>
    <t xml:space="preserve">2025 Janar </t>
  </si>
  <si>
    <t xml:space="preserve">Maj </t>
  </si>
  <si>
    <t>Korrik (p)</t>
  </si>
  <si>
    <t>n.a.</t>
  </si>
  <si>
    <t>2024 Janar</t>
  </si>
  <si>
    <t xml:space="preserve">  Maj</t>
  </si>
  <si>
    <t>2025 Janar</t>
  </si>
  <si>
    <t>Year</t>
  </si>
  <si>
    <t>Quarter</t>
  </si>
  <si>
    <t xml:space="preserve"> T4</t>
  </si>
  <si>
    <t>Year 1</t>
  </si>
  <si>
    <t>Quarter remittances (milion)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</si>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</sst>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22222"/>
      <name val="&quot;Google Sans&quot;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u/>
      <sz val="10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5F8"/>
        <bgColor rgb="FFD8E5F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applyFont="1"/>
    <xf numFmtId="2" fontId="5" fillId="3" borderId="0" xfId="0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e" xfId="0" builtinId="0"/>
  </cellStyles>
  <dxfs count="7"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qk-kos.org/statistikat/serite-koho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GX1003"/>
  <sheetViews>
    <sheetView workbookViewId="0">
      <selection activeCell="A10" sqref="A10"/>
    </sheetView>
  </sheetViews>
  <sheetFormatPr defaultColWidth="14.453125" defaultRowHeight="15" customHeight="1"/>
  <cols>
    <col min="1" max="1" width="38.08984375" customWidth="1"/>
    <col min="2" max="2" width="11.453125" customWidth="1"/>
    <col min="3" max="12" width="7" customWidth="1"/>
    <col min="13" max="13" width="11" customWidth="1"/>
    <col min="14" max="14" width="10.81640625" customWidth="1"/>
    <col min="15" max="17" width="7" customWidth="1"/>
    <col min="18" max="18" width="8.26953125" customWidth="1"/>
    <col min="19" max="19" width="8.08984375" customWidth="1"/>
    <col min="20" max="45" width="7" customWidth="1"/>
    <col min="46" max="46" width="9" customWidth="1"/>
    <col min="47" max="49" width="7" customWidth="1"/>
    <col min="50" max="50" width="11.08984375" customWidth="1"/>
    <col min="51" max="51" width="7" customWidth="1"/>
    <col min="52" max="52" width="6.54296875" customWidth="1"/>
    <col min="53" max="53" width="7" customWidth="1"/>
    <col min="54" max="54" width="10.26953125" customWidth="1"/>
    <col min="55" max="57" width="7" customWidth="1"/>
    <col min="58" max="58" width="9.54296875" customWidth="1"/>
    <col min="59" max="59" width="7" customWidth="1"/>
    <col min="60" max="60" width="6.81640625" customWidth="1"/>
    <col min="61" max="61" width="6" customWidth="1"/>
    <col min="62" max="74" width="7" customWidth="1"/>
    <col min="75" max="75" width="10.81640625" customWidth="1"/>
    <col min="76" max="206" width="7" customWidth="1"/>
    <col min="207" max="207" width="9.08984375" customWidth="1"/>
    <col min="208" max="208" width="9.453125" customWidth="1"/>
    <col min="209" max="210" width="9.08984375" customWidth="1"/>
    <col min="211" max="220" width="9.453125" customWidth="1"/>
    <col min="221" max="222" width="9.08984375" customWidth="1"/>
    <col min="223" max="227" width="9.453125" customWidth="1"/>
  </cols>
  <sheetData>
    <row r="1" spans="1:206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</row>
    <row r="2" spans="1:206" ht="14.2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</row>
    <row r="3" spans="1:206" ht="14.2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</row>
    <row r="4" spans="1:206" ht="14.2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</row>
    <row r="5" spans="1:206" ht="14.25" customHeight="1">
      <c r="A5" s="5" t="s">
        <v>3</v>
      </c>
      <c r="B5" s="2">
        <v>2004</v>
      </c>
      <c r="C5" s="2">
        <v>2005</v>
      </c>
      <c r="D5" s="2">
        <v>2006</v>
      </c>
      <c r="E5" s="2">
        <v>2007</v>
      </c>
      <c r="F5" s="2">
        <v>2008</v>
      </c>
      <c r="G5" s="2">
        <v>2009</v>
      </c>
      <c r="H5" s="2">
        <v>2010</v>
      </c>
      <c r="I5" s="2">
        <v>2011</v>
      </c>
      <c r="J5" s="2">
        <v>2012</v>
      </c>
      <c r="K5" s="2">
        <v>2013</v>
      </c>
      <c r="L5" s="2">
        <v>2014</v>
      </c>
      <c r="M5" s="2">
        <v>2015</v>
      </c>
      <c r="N5" s="2">
        <v>2016</v>
      </c>
      <c r="O5" s="2">
        <v>2017</v>
      </c>
      <c r="P5" s="2">
        <v>2018</v>
      </c>
      <c r="Q5" s="2">
        <v>2019</v>
      </c>
      <c r="R5" s="2">
        <v>2020</v>
      </c>
      <c r="S5" s="2">
        <v>2021</v>
      </c>
      <c r="T5" s="2">
        <v>2022</v>
      </c>
      <c r="U5" s="2">
        <v>2023</v>
      </c>
      <c r="V5" s="2">
        <v>2024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</row>
    <row r="6" spans="1:206" ht="14.25" customHeight="1">
      <c r="A6" s="6" t="s">
        <v>4</v>
      </c>
      <c r="B6" s="7">
        <v>357.00114616252927</v>
      </c>
      <c r="C6" s="7">
        <v>418.02064648910232</v>
      </c>
      <c r="D6" s="7">
        <v>467.15</v>
      </c>
      <c r="E6" s="7">
        <v>588.53317330232892</v>
      </c>
      <c r="F6" s="7">
        <v>608.72</v>
      </c>
      <c r="G6" s="7">
        <v>585.70000000000005</v>
      </c>
      <c r="H6" s="7">
        <v>584.33000000000004</v>
      </c>
      <c r="I6" s="7">
        <v>492.52338907627859</v>
      </c>
      <c r="J6" s="7">
        <v>516.35550608673952</v>
      </c>
      <c r="K6" s="7">
        <v>573.39242344322633</v>
      </c>
      <c r="L6" s="7">
        <v>622.27888018210251</v>
      </c>
      <c r="M6" s="7">
        <v>665.48690670885071</v>
      </c>
      <c r="N6" s="7">
        <v>690.95705595885238</v>
      </c>
      <c r="O6" s="7">
        <v>759.18854275040042</v>
      </c>
      <c r="P6" s="7">
        <v>800.56765026548976</v>
      </c>
      <c r="Q6" s="7">
        <v>851.53224643153692</v>
      </c>
      <c r="R6" s="7">
        <v>979.97910293260793</v>
      </c>
      <c r="S6" s="7">
        <v>1153.3633830745998</v>
      </c>
      <c r="T6" s="7">
        <v>1222.8068966768799</v>
      </c>
      <c r="U6" s="7">
        <v>1335.7617347693517</v>
      </c>
      <c r="V6" s="7">
        <v>1355.0109741965646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</row>
    <row r="7" spans="1:206" ht="14.25" customHeight="1">
      <c r="A7" s="6" t="s">
        <v>5</v>
      </c>
      <c r="B7" s="7" t="s">
        <v>6</v>
      </c>
      <c r="C7" s="7" t="s">
        <v>6</v>
      </c>
      <c r="D7" s="7">
        <v>135.13</v>
      </c>
      <c r="E7" s="7">
        <v>156.46734430341394</v>
      </c>
      <c r="F7" s="7">
        <v>126.3</v>
      </c>
      <c r="G7" s="7">
        <v>148.77000000000001</v>
      </c>
      <c r="H7" s="7">
        <v>141.33000000000001</v>
      </c>
      <c r="I7" s="7">
        <v>93.863304257830734</v>
      </c>
      <c r="J7" s="7">
        <v>92.643287473685859</v>
      </c>
      <c r="K7" s="7">
        <v>115.42914643921523</v>
      </c>
      <c r="L7" s="7">
        <v>115.24964184505713</v>
      </c>
      <c r="M7" s="7">
        <v>121.09022901569598</v>
      </c>
      <c r="N7" s="7">
        <v>116.29278781885998</v>
      </c>
      <c r="O7" s="7">
        <v>120.43212240000021</v>
      </c>
      <c r="P7" s="7">
        <v>123.08343333564396</v>
      </c>
      <c r="Q7" s="7">
        <v>122.94603024598491</v>
      </c>
      <c r="R7" s="7">
        <v>141.31788673712407</v>
      </c>
      <c r="S7" s="7">
        <v>178.82084205587012</v>
      </c>
      <c r="T7" s="7">
        <v>207.05635611578001</v>
      </c>
      <c r="U7" s="7">
        <v>216.12631573558545</v>
      </c>
      <c r="V7" s="7">
        <v>222.52471444418666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</row>
    <row r="8" spans="1:206" ht="14.25" customHeight="1">
      <c r="A8" s="6" t="s">
        <v>7</v>
      </c>
      <c r="B8" s="7" t="s">
        <v>6</v>
      </c>
      <c r="C8" s="7" t="s">
        <v>6</v>
      </c>
      <c r="D8" s="7">
        <v>184.68</v>
      </c>
      <c r="E8" s="7">
        <v>226.81372911096716</v>
      </c>
      <c r="F8" s="7">
        <v>213.08</v>
      </c>
      <c r="G8" s="7">
        <v>213.12</v>
      </c>
      <c r="H8" s="7">
        <v>213.12</v>
      </c>
      <c r="I8" s="7">
        <v>220.24599999999998</v>
      </c>
      <c r="J8" s="7">
        <v>236.66507100000001</v>
      </c>
      <c r="K8" s="7">
        <v>250.25479708325051</v>
      </c>
      <c r="L8" s="7">
        <v>281.61188888332464</v>
      </c>
      <c r="M8" s="7">
        <v>303.32744107923429</v>
      </c>
      <c r="N8" s="7">
        <v>324.36859990999994</v>
      </c>
      <c r="O8" s="7">
        <v>363.74424414999999</v>
      </c>
      <c r="P8" s="7">
        <v>387.48267014999999</v>
      </c>
      <c r="Q8" s="7">
        <v>420.09856526999999</v>
      </c>
      <c r="R8" s="7">
        <v>671.97298624399991</v>
      </c>
      <c r="S8" s="7">
        <v>664.11219693999999</v>
      </c>
      <c r="T8" s="7">
        <v>702.08165319</v>
      </c>
      <c r="U8" s="7">
        <v>753.0390839699993</v>
      </c>
      <c r="V8" s="7">
        <v>765.70995571699996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</row>
    <row r="9" spans="1:206" ht="14.25" customHeight="1">
      <c r="A9" s="6" t="s">
        <v>8</v>
      </c>
      <c r="B9" s="7" t="s">
        <v>6</v>
      </c>
      <c r="C9" s="7" t="s">
        <v>6</v>
      </c>
      <c r="D9" s="7">
        <v>147.34</v>
      </c>
      <c r="E9" s="7">
        <v>205.25209988794785</v>
      </c>
      <c r="F9" s="7">
        <v>269.33</v>
      </c>
      <c r="G9" s="7">
        <v>223.81</v>
      </c>
      <c r="H9" s="7">
        <v>229.88</v>
      </c>
      <c r="I9" s="7">
        <v>178.41408481844786</v>
      </c>
      <c r="J9" s="7">
        <v>187.0471476130536</v>
      </c>
      <c r="K9" s="7">
        <v>207.70847992076057</v>
      </c>
      <c r="L9" s="7">
        <v>225.41734945372087</v>
      </c>
      <c r="M9" s="7">
        <v>241.0692366139204</v>
      </c>
      <c r="N9" s="7">
        <v>250.29566822999243</v>
      </c>
      <c r="O9" s="7">
        <v>275.01217620040012</v>
      </c>
      <c r="P9" s="7">
        <v>290.0015467798458</v>
      </c>
      <c r="Q9" s="7">
        <v>308.48765091555197</v>
      </c>
      <c r="R9" s="7">
        <v>166.62041960148392</v>
      </c>
      <c r="S9" s="7">
        <v>310.45418076912199</v>
      </c>
      <c r="T9" s="7">
        <v>313.66888737110202</v>
      </c>
      <c r="U9" s="7">
        <v>366.59633506376707</v>
      </c>
      <c r="V9" s="7">
        <v>366.77630403537796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</row>
    <row r="10" spans="1:206" ht="14.25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</row>
    <row r="11" spans="1:206" ht="14.25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</row>
    <row r="12" spans="1:206" ht="14.25" customHeight="1">
      <c r="A12" s="8" t="s">
        <v>9</v>
      </c>
      <c r="B12" s="9">
        <v>2008</v>
      </c>
      <c r="C12" s="9" t="s">
        <v>10</v>
      </c>
      <c r="D12" s="9" t="s">
        <v>11</v>
      </c>
      <c r="E12" s="9" t="s">
        <v>12</v>
      </c>
      <c r="F12" s="9" t="s">
        <v>13</v>
      </c>
      <c r="G12" s="9" t="s">
        <v>10</v>
      </c>
      <c r="H12" s="9" t="s">
        <v>11</v>
      </c>
      <c r="I12" s="9" t="s">
        <v>12</v>
      </c>
      <c r="J12" s="9" t="s">
        <v>14</v>
      </c>
      <c r="K12" s="9" t="s">
        <v>10</v>
      </c>
      <c r="L12" s="9" t="s">
        <v>11</v>
      </c>
      <c r="M12" s="9" t="s">
        <v>12</v>
      </c>
      <c r="N12" s="9" t="s">
        <v>15</v>
      </c>
      <c r="O12" s="9" t="s">
        <v>10</v>
      </c>
      <c r="P12" s="9" t="s">
        <v>11</v>
      </c>
      <c r="Q12" s="9" t="s">
        <v>12</v>
      </c>
      <c r="R12" s="9" t="s">
        <v>16</v>
      </c>
      <c r="S12" s="9" t="s">
        <v>10</v>
      </c>
      <c r="T12" s="9" t="s">
        <v>11</v>
      </c>
      <c r="U12" s="9" t="s">
        <v>12</v>
      </c>
      <c r="V12" s="9" t="s">
        <v>17</v>
      </c>
      <c r="W12" s="9" t="s">
        <v>18</v>
      </c>
      <c r="X12" s="9" t="s">
        <v>19</v>
      </c>
      <c r="Y12" s="9" t="s">
        <v>20</v>
      </c>
      <c r="Z12" s="9" t="s">
        <v>21</v>
      </c>
      <c r="AA12" s="9" t="s">
        <v>18</v>
      </c>
      <c r="AB12" s="9" t="s">
        <v>11</v>
      </c>
      <c r="AC12" s="9" t="s">
        <v>20</v>
      </c>
      <c r="AD12" s="9" t="s">
        <v>22</v>
      </c>
      <c r="AE12" s="9" t="s">
        <v>18</v>
      </c>
      <c r="AF12" s="9" t="s">
        <v>19</v>
      </c>
      <c r="AG12" s="9" t="s">
        <v>20</v>
      </c>
      <c r="AH12" s="9" t="s">
        <v>23</v>
      </c>
      <c r="AI12" s="9" t="s">
        <v>18</v>
      </c>
      <c r="AJ12" s="9" t="s">
        <v>11</v>
      </c>
      <c r="AK12" s="9" t="s">
        <v>20</v>
      </c>
      <c r="AL12" s="9" t="s">
        <v>24</v>
      </c>
      <c r="AM12" s="9" t="s">
        <v>18</v>
      </c>
      <c r="AN12" s="9" t="s">
        <v>11</v>
      </c>
      <c r="AO12" s="9" t="s">
        <v>20</v>
      </c>
      <c r="AP12" s="9" t="s">
        <v>25</v>
      </c>
      <c r="AQ12" s="9" t="s">
        <v>18</v>
      </c>
      <c r="AR12" s="9" t="s">
        <v>19</v>
      </c>
      <c r="AS12" s="9" t="s">
        <v>20</v>
      </c>
      <c r="AT12" s="9" t="s">
        <v>26</v>
      </c>
      <c r="AU12" s="9" t="s">
        <v>27</v>
      </c>
      <c r="AV12" s="9" t="s">
        <v>28</v>
      </c>
      <c r="AW12" s="9" t="s">
        <v>20</v>
      </c>
      <c r="AX12" s="9" t="s">
        <v>29</v>
      </c>
      <c r="AY12" s="9" t="s">
        <v>27</v>
      </c>
      <c r="AZ12" s="9" t="s">
        <v>19</v>
      </c>
      <c r="BA12" s="9" t="s">
        <v>20</v>
      </c>
      <c r="BB12" s="9" t="s">
        <v>30</v>
      </c>
      <c r="BC12" s="9" t="s">
        <v>27</v>
      </c>
      <c r="BD12" s="9" t="s">
        <v>19</v>
      </c>
      <c r="BE12" s="9" t="s">
        <v>20</v>
      </c>
      <c r="BF12" s="9" t="s">
        <v>31</v>
      </c>
      <c r="BG12" s="9" t="s">
        <v>27</v>
      </c>
      <c r="BH12" s="9" t="s">
        <v>19</v>
      </c>
      <c r="BI12" s="9" t="s">
        <v>20</v>
      </c>
      <c r="BJ12" s="9" t="s">
        <v>32</v>
      </c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</row>
    <row r="13" spans="1:206" ht="14.25" customHeight="1">
      <c r="A13" s="6" t="s">
        <v>33</v>
      </c>
      <c r="B13" s="2">
        <v>100</v>
      </c>
      <c r="C13" s="2">
        <v>100</v>
      </c>
      <c r="D13" s="2">
        <v>100</v>
      </c>
      <c r="E13" s="2">
        <v>100</v>
      </c>
      <c r="F13" s="2">
        <v>100</v>
      </c>
      <c r="G13" s="2">
        <v>100</v>
      </c>
      <c r="H13" s="2">
        <v>100</v>
      </c>
      <c r="I13" s="2">
        <v>100</v>
      </c>
      <c r="J13" s="2">
        <v>100</v>
      </c>
      <c r="K13" s="2">
        <v>100</v>
      </c>
      <c r="L13" s="2">
        <v>100</v>
      </c>
      <c r="M13" s="2">
        <v>100</v>
      </c>
      <c r="N13" s="2">
        <v>100</v>
      </c>
      <c r="O13" s="2">
        <v>100</v>
      </c>
      <c r="P13" s="2">
        <v>100</v>
      </c>
      <c r="Q13" s="2">
        <v>100</v>
      </c>
      <c r="R13" s="2">
        <v>100</v>
      </c>
      <c r="S13" s="2">
        <v>100</v>
      </c>
      <c r="T13" s="2">
        <v>100</v>
      </c>
      <c r="U13" s="2">
        <v>100</v>
      </c>
      <c r="V13" s="2">
        <v>100</v>
      </c>
      <c r="W13" s="2">
        <v>100</v>
      </c>
      <c r="X13" s="2">
        <v>100</v>
      </c>
      <c r="Y13" s="2">
        <v>100</v>
      </c>
      <c r="Z13" s="2">
        <v>100</v>
      </c>
      <c r="AA13" s="2">
        <v>100</v>
      </c>
      <c r="AB13" s="2">
        <v>100</v>
      </c>
      <c r="AC13" s="2">
        <v>100</v>
      </c>
      <c r="AD13" s="2">
        <v>99.999999999999972</v>
      </c>
      <c r="AE13" s="2">
        <v>100</v>
      </c>
      <c r="AF13" s="2">
        <v>100</v>
      </c>
      <c r="AG13" s="2">
        <v>99.999999999999986</v>
      </c>
      <c r="AH13" s="2">
        <v>100</v>
      </c>
      <c r="AI13" s="2">
        <v>100</v>
      </c>
      <c r="AJ13" s="2">
        <v>100</v>
      </c>
      <c r="AK13" s="2">
        <v>100</v>
      </c>
      <c r="AL13" s="2">
        <v>100</v>
      </c>
      <c r="AM13" s="2">
        <v>100</v>
      </c>
      <c r="AN13" s="2">
        <v>100</v>
      </c>
      <c r="AO13" s="2">
        <v>100</v>
      </c>
      <c r="AP13" s="2">
        <v>100</v>
      </c>
      <c r="AQ13" s="2">
        <v>100</v>
      </c>
      <c r="AR13" s="2">
        <v>100</v>
      </c>
      <c r="AS13" s="2">
        <v>100</v>
      </c>
      <c r="AT13" s="2">
        <v>100</v>
      </c>
      <c r="AU13" s="2">
        <v>100</v>
      </c>
      <c r="AV13" s="2">
        <v>100</v>
      </c>
      <c r="AW13" s="2">
        <v>100</v>
      </c>
      <c r="AX13" s="2">
        <v>100</v>
      </c>
      <c r="AY13" s="2">
        <v>100</v>
      </c>
      <c r="AZ13" s="2">
        <v>100</v>
      </c>
      <c r="BA13" s="2">
        <v>100</v>
      </c>
      <c r="BB13" s="2">
        <v>100</v>
      </c>
      <c r="BC13" s="2">
        <v>100</v>
      </c>
      <c r="BD13" s="2">
        <v>100</v>
      </c>
      <c r="BE13" s="2">
        <v>100</v>
      </c>
      <c r="BF13" s="2">
        <v>100</v>
      </c>
      <c r="BG13" s="2">
        <v>100</v>
      </c>
      <c r="BH13" s="2">
        <v>100</v>
      </c>
      <c r="BI13" s="2">
        <v>100</v>
      </c>
      <c r="BJ13" s="2">
        <v>100</v>
      </c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</row>
    <row r="14" spans="1:206" ht="14.25" customHeight="1">
      <c r="A14" s="6" t="s">
        <v>34</v>
      </c>
      <c r="B14" s="2">
        <v>37.72</v>
      </c>
      <c r="C14" s="2">
        <v>34.92</v>
      </c>
      <c r="D14" s="2">
        <v>39.36</v>
      </c>
      <c r="E14" s="2">
        <v>37.39</v>
      </c>
      <c r="F14" s="2">
        <v>38.090000000000003</v>
      </c>
      <c r="G14" s="2">
        <v>34.79</v>
      </c>
      <c r="H14" s="2">
        <v>34.68</v>
      </c>
      <c r="I14" s="2">
        <v>33.160000000000004</v>
      </c>
      <c r="J14" s="2">
        <v>34.08</v>
      </c>
      <c r="K14" s="2">
        <v>32.72</v>
      </c>
      <c r="L14" s="2">
        <v>32.75</v>
      </c>
      <c r="M14" s="2">
        <v>33.79</v>
      </c>
      <c r="N14" s="2">
        <v>33.71</v>
      </c>
      <c r="O14" s="2">
        <v>30.869999999999997</v>
      </c>
      <c r="P14" s="2">
        <v>37.369999999999997</v>
      </c>
      <c r="Q14" s="2">
        <v>34.61</v>
      </c>
      <c r="R14" s="2">
        <v>34.46</v>
      </c>
      <c r="S14" s="2">
        <v>33.550000000000004</v>
      </c>
      <c r="T14" s="2">
        <v>33.33</v>
      </c>
      <c r="U14" s="2">
        <v>33.57</v>
      </c>
      <c r="V14" s="7">
        <v>35.314303118222398</v>
      </c>
      <c r="W14" s="7">
        <v>36.656342604651492</v>
      </c>
      <c r="X14" s="7">
        <v>36.579966638053989</v>
      </c>
      <c r="Y14" s="7">
        <v>35.500631463424554</v>
      </c>
      <c r="Z14" s="7">
        <v>36.828018965072282</v>
      </c>
      <c r="AA14" s="7">
        <v>35.229658301357055</v>
      </c>
      <c r="AB14" s="7">
        <v>36.870215725787538</v>
      </c>
      <c r="AC14" s="7">
        <v>35.927402418470862</v>
      </c>
      <c r="AD14" s="7">
        <v>38.831205912890709</v>
      </c>
      <c r="AE14" s="7">
        <v>37.758575794513632</v>
      </c>
      <c r="AF14" s="7">
        <v>37.563016523315582</v>
      </c>
      <c r="AG14" s="7">
        <v>35.090563912026504</v>
      </c>
      <c r="AH14" s="7">
        <v>37.987030342235393</v>
      </c>
      <c r="AI14" s="7">
        <v>38.483864168238043</v>
      </c>
      <c r="AJ14" s="7">
        <v>39.890011921195658</v>
      </c>
      <c r="AK14" s="7">
        <v>39.333307453623263</v>
      </c>
      <c r="AL14" s="7">
        <v>39.379623756870238</v>
      </c>
      <c r="AM14" s="7">
        <v>39.830289249263501</v>
      </c>
      <c r="AN14" s="7">
        <v>41.076336665524231</v>
      </c>
      <c r="AO14" s="7">
        <v>38.816774139048974</v>
      </c>
      <c r="AP14" s="7">
        <v>42.070223289906295</v>
      </c>
      <c r="AQ14" s="7">
        <v>40.693882239715265</v>
      </c>
      <c r="AR14" s="7">
        <v>41.822508774085335</v>
      </c>
      <c r="AS14" s="7">
        <v>39.226612697023327</v>
      </c>
      <c r="AT14" s="7">
        <v>41.183899490870509</v>
      </c>
      <c r="AU14" s="7">
        <v>42.437947689474811</v>
      </c>
      <c r="AV14" s="7">
        <v>43.074873753019006</v>
      </c>
      <c r="AW14" s="7">
        <v>40.838769861425902</v>
      </c>
      <c r="AX14" s="7">
        <v>42.887900215706978</v>
      </c>
      <c r="AY14" s="7">
        <v>41.296635769772436</v>
      </c>
      <c r="AZ14" s="7">
        <v>39.511716617630029</v>
      </c>
      <c r="BA14" s="7">
        <v>39.206298749113124</v>
      </c>
      <c r="BB14" s="7">
        <v>36.879089374570896</v>
      </c>
      <c r="BC14" s="7">
        <v>39.985052675270595</v>
      </c>
      <c r="BD14" s="7">
        <v>38.890298326405478</v>
      </c>
      <c r="BE14" s="7">
        <v>41.177066229918715</v>
      </c>
      <c r="BF14" s="7">
        <v>41.468811994605602</v>
      </c>
      <c r="BG14" s="7">
        <v>38.834922236149552</v>
      </c>
      <c r="BH14" s="7">
        <v>37.42629186114543</v>
      </c>
      <c r="BI14" s="7">
        <v>37.937095783576787</v>
      </c>
      <c r="BJ14" s="7">
        <v>38.420198985621298</v>
      </c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</row>
    <row r="15" spans="1:206" ht="14.25" customHeight="1">
      <c r="A15" s="6" t="s">
        <v>35</v>
      </c>
      <c r="B15" s="2">
        <v>15.86</v>
      </c>
      <c r="C15" s="2">
        <v>21.36</v>
      </c>
      <c r="D15" s="2">
        <v>19.739999999999998</v>
      </c>
      <c r="E15" s="2">
        <v>21.21</v>
      </c>
      <c r="F15" s="2">
        <v>21.990000000000002</v>
      </c>
      <c r="G15" s="2">
        <v>21.04</v>
      </c>
      <c r="H15" s="2">
        <v>20.73</v>
      </c>
      <c r="I15" s="2">
        <v>21.4</v>
      </c>
      <c r="J15" s="2">
        <v>21.6</v>
      </c>
      <c r="K15" s="2">
        <v>23.71</v>
      </c>
      <c r="L15" s="2">
        <v>22.96</v>
      </c>
      <c r="M15" s="2">
        <v>23.43</v>
      </c>
      <c r="N15" s="2">
        <v>22.13</v>
      </c>
      <c r="O15" s="2">
        <v>23.72</v>
      </c>
      <c r="P15" s="2">
        <v>26.290000000000003</v>
      </c>
      <c r="Q15" s="2">
        <v>22.64</v>
      </c>
      <c r="R15" s="2">
        <v>21</v>
      </c>
      <c r="S15" s="2">
        <v>22.470000000000002</v>
      </c>
      <c r="T15" s="2">
        <v>25.46</v>
      </c>
      <c r="U15" s="2">
        <v>24.38</v>
      </c>
      <c r="V15" s="7">
        <v>22.68437192677678</v>
      </c>
      <c r="W15" s="7">
        <v>21.415779909210549</v>
      </c>
      <c r="X15" s="7">
        <v>23.66879626076841</v>
      </c>
      <c r="Y15" s="7">
        <v>23.865679897194887</v>
      </c>
      <c r="Z15" s="7">
        <v>21.072771537563938</v>
      </c>
      <c r="AA15" s="7">
        <v>21.799878833038484</v>
      </c>
      <c r="AB15" s="7">
        <v>21.647520879556126</v>
      </c>
      <c r="AC15" s="7">
        <v>23.823657013971953</v>
      </c>
      <c r="AD15" s="7">
        <v>22.24693715013797</v>
      </c>
      <c r="AE15" s="7">
        <v>21.276172749208058</v>
      </c>
      <c r="AF15" s="7">
        <v>21.846287327525012</v>
      </c>
      <c r="AG15" s="7">
        <v>23.961597138071696</v>
      </c>
      <c r="AH15" s="7">
        <v>23.452270017800778</v>
      </c>
      <c r="AI15" s="7">
        <v>22.772815274521772</v>
      </c>
      <c r="AJ15" s="7">
        <v>22.500144153077894</v>
      </c>
      <c r="AK15" s="7">
        <v>22.845757521876571</v>
      </c>
      <c r="AL15" s="7">
        <v>21.808607983542682</v>
      </c>
      <c r="AM15" s="7">
        <v>21.509381542292932</v>
      </c>
      <c r="AN15" s="7">
        <v>20.479293724837781</v>
      </c>
      <c r="AO15" s="7">
        <v>21.926127606893075</v>
      </c>
      <c r="AP15" s="7">
        <v>22.762241864433292</v>
      </c>
      <c r="AQ15" s="7">
        <v>20.382020654473692</v>
      </c>
      <c r="AR15" s="7">
        <v>19.272959815591786</v>
      </c>
      <c r="AS15" s="7">
        <v>20.828463254158923</v>
      </c>
      <c r="AT15" s="7">
        <v>20.449758327012741</v>
      </c>
      <c r="AU15" s="7">
        <v>20.76147587525033</v>
      </c>
      <c r="AV15" s="7">
        <v>24.256233863024185</v>
      </c>
      <c r="AW15" s="7">
        <v>24.395596046811239</v>
      </c>
      <c r="AX15" s="7">
        <v>19.962773169920307</v>
      </c>
      <c r="AY15" s="7">
        <v>18.874969082164046</v>
      </c>
      <c r="AZ15" s="7">
        <v>17.298047366349813</v>
      </c>
      <c r="BA15" s="7">
        <v>19.667593724275992</v>
      </c>
      <c r="BB15" s="7">
        <v>19.702632481832048</v>
      </c>
      <c r="BC15" s="7">
        <v>18.546424697910577</v>
      </c>
      <c r="BD15" s="7">
        <v>17.881500158040254</v>
      </c>
      <c r="BE15" s="7">
        <v>20.21271672330349</v>
      </c>
      <c r="BF15" s="7">
        <v>20.674597167581297</v>
      </c>
      <c r="BG15" s="7">
        <v>17.223793874975854</v>
      </c>
      <c r="BH15" s="7">
        <v>18.024913038114608</v>
      </c>
      <c r="BI15" s="7">
        <v>19.0721430001351</v>
      </c>
      <c r="BJ15" s="7">
        <v>20.76522430973586</v>
      </c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</row>
    <row r="16" spans="1:206" ht="14.25" customHeight="1">
      <c r="A16" s="6" t="s">
        <v>36</v>
      </c>
      <c r="B16" s="2">
        <v>13.11</v>
      </c>
      <c r="C16" s="2">
        <v>10.54</v>
      </c>
      <c r="D16" s="2">
        <v>11.28</v>
      </c>
      <c r="E16" s="2">
        <v>9.77</v>
      </c>
      <c r="F16" s="2">
        <v>9.7900000000000009</v>
      </c>
      <c r="G16" s="2">
        <v>8.81</v>
      </c>
      <c r="H16" s="2">
        <v>7.870000000000001</v>
      </c>
      <c r="I16" s="2">
        <v>7.03</v>
      </c>
      <c r="J16" s="2">
        <v>7.1800000000000006</v>
      </c>
      <c r="K16" s="2">
        <v>7.46</v>
      </c>
      <c r="L16" s="2">
        <v>7.01</v>
      </c>
      <c r="M16" s="2">
        <v>6.2</v>
      </c>
      <c r="N16" s="2">
        <v>7.37</v>
      </c>
      <c r="O16" s="2">
        <v>4.7600000000000007</v>
      </c>
      <c r="P16" s="2">
        <v>8.3800000000000008</v>
      </c>
      <c r="Q16" s="2">
        <v>7.93</v>
      </c>
      <c r="R16" s="2">
        <v>8.5400000000000009</v>
      </c>
      <c r="S16" s="2">
        <v>7.53</v>
      </c>
      <c r="T16" s="2">
        <v>5.89</v>
      </c>
      <c r="U16" s="2">
        <v>6.58</v>
      </c>
      <c r="V16" s="7">
        <v>10.552840741182246</v>
      </c>
      <c r="W16" s="7">
        <v>5.9413433053745202</v>
      </c>
      <c r="X16" s="7">
        <v>5.445079023020118</v>
      </c>
      <c r="Y16" s="7">
        <v>4.6153494556458812</v>
      </c>
      <c r="Z16" s="7">
        <v>3.8147294290988669</v>
      </c>
      <c r="AA16" s="7">
        <v>4.9533376582579196</v>
      </c>
      <c r="AB16" s="7">
        <v>3.6410294362532487</v>
      </c>
      <c r="AC16" s="7">
        <v>5.6108064286708883</v>
      </c>
      <c r="AD16" s="7">
        <v>5.1068878304867313</v>
      </c>
      <c r="AE16" s="7">
        <v>5.9028582726838907</v>
      </c>
      <c r="AF16" s="7">
        <v>5.2365189143722999</v>
      </c>
      <c r="AG16" s="7">
        <v>5.5732538920712766</v>
      </c>
      <c r="AH16" s="7">
        <v>4.3442313175477922</v>
      </c>
      <c r="AI16" s="7">
        <v>4.5108154152769879</v>
      </c>
      <c r="AJ16" s="7">
        <v>4.246263854179789</v>
      </c>
      <c r="AK16" s="7">
        <v>4.4514409254429417</v>
      </c>
      <c r="AL16" s="7">
        <v>4.5314390654559871</v>
      </c>
      <c r="AM16" s="7">
        <v>5.0043588534825245</v>
      </c>
      <c r="AN16" s="7">
        <v>4.6283226092535985</v>
      </c>
      <c r="AO16" s="7">
        <v>4.9754265810152569</v>
      </c>
      <c r="AP16" s="7">
        <v>4.9129765576382853</v>
      </c>
      <c r="AQ16" s="7">
        <v>5.311153040417957</v>
      </c>
      <c r="AR16" s="7">
        <v>4.8930089361880968</v>
      </c>
      <c r="AS16" s="7">
        <v>4.7659482189075595</v>
      </c>
      <c r="AT16" s="7">
        <v>4.7060665393278844</v>
      </c>
      <c r="AU16" s="7">
        <v>4.4336156029139007</v>
      </c>
      <c r="AV16" s="7">
        <v>3.4621728531551552</v>
      </c>
      <c r="AW16" s="7">
        <v>4.0057148538288363</v>
      </c>
      <c r="AX16" s="7">
        <v>4.3310594346442954</v>
      </c>
      <c r="AY16" s="7">
        <v>4.140307199993627</v>
      </c>
      <c r="AZ16" s="7">
        <v>4.0416198409759287</v>
      </c>
      <c r="BA16" s="7">
        <v>4.3093247792974401</v>
      </c>
      <c r="BB16" s="7">
        <v>4.3509722351838187</v>
      </c>
      <c r="BC16" s="7">
        <v>4.6659435172697838</v>
      </c>
      <c r="BD16" s="7">
        <v>4.541602827090232</v>
      </c>
      <c r="BE16" s="7">
        <v>4.9719746640784415</v>
      </c>
      <c r="BF16" s="7">
        <v>4.8707458909891876</v>
      </c>
      <c r="BG16" s="7">
        <v>4.7617103401149485</v>
      </c>
      <c r="BH16" s="7">
        <v>4.5354265282845629</v>
      </c>
      <c r="BI16" s="7">
        <v>4.2567156618445816</v>
      </c>
      <c r="BJ16" s="7">
        <v>4.7738758290009544</v>
      </c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</row>
    <row r="17" spans="1:206" ht="14.25" customHeight="1">
      <c r="A17" s="6" t="s">
        <v>37</v>
      </c>
      <c r="B17" s="2">
        <v>6.23</v>
      </c>
      <c r="C17" s="2">
        <v>5.3</v>
      </c>
      <c r="D17" s="2">
        <v>6.08</v>
      </c>
      <c r="E17" s="2">
        <v>5.9700000000000006</v>
      </c>
      <c r="F17" s="2">
        <v>5.48</v>
      </c>
      <c r="G17" s="2">
        <v>5.7299999999999995</v>
      </c>
      <c r="H17" s="2">
        <v>3.8699999999999997</v>
      </c>
      <c r="I17" s="2">
        <v>6.5</v>
      </c>
      <c r="J17" s="2">
        <v>5.4899999999999993</v>
      </c>
      <c r="K17" s="2">
        <v>5.64</v>
      </c>
      <c r="L17" s="2">
        <v>5.52</v>
      </c>
      <c r="M17" s="2">
        <v>5.5</v>
      </c>
      <c r="N17" s="2">
        <v>5.46</v>
      </c>
      <c r="O17" s="2">
        <v>6.01</v>
      </c>
      <c r="P17" s="2">
        <v>6.4399999999999995</v>
      </c>
      <c r="Q17" s="2">
        <v>5.92</v>
      </c>
      <c r="R17" s="2">
        <v>6.2</v>
      </c>
      <c r="S17" s="2">
        <v>5.8000000000000007</v>
      </c>
      <c r="T17" s="2">
        <v>5.67</v>
      </c>
      <c r="U17" s="2">
        <v>7.7700000000000005</v>
      </c>
      <c r="V17" s="7">
        <v>4.6463241984116603</v>
      </c>
      <c r="W17" s="7">
        <v>3.8130585173941771</v>
      </c>
      <c r="X17" s="7">
        <v>4.45561833792675</v>
      </c>
      <c r="Y17" s="7">
        <v>3.631474786140291</v>
      </c>
      <c r="Z17" s="7">
        <v>3.1258348002848066</v>
      </c>
      <c r="AA17" s="7">
        <v>3.8608424731466688</v>
      </c>
      <c r="AB17" s="7">
        <v>3.4892427201629439</v>
      </c>
      <c r="AC17" s="7">
        <v>3.3809052022984836</v>
      </c>
      <c r="AD17" s="7">
        <v>3.2977038035214914</v>
      </c>
      <c r="AE17" s="7">
        <v>3.7515845323931254</v>
      </c>
      <c r="AF17" s="7">
        <v>3.7323121878934886</v>
      </c>
      <c r="AG17" s="7">
        <v>3.3352909881588655</v>
      </c>
      <c r="AH17" s="7">
        <v>3.5984287955676111</v>
      </c>
      <c r="AI17" s="7">
        <v>3.8583748274360299</v>
      </c>
      <c r="AJ17" s="7">
        <v>3.755849581357888</v>
      </c>
      <c r="AK17" s="7">
        <v>3.8419559206738478</v>
      </c>
      <c r="AL17" s="7">
        <v>3.7032486344137507</v>
      </c>
      <c r="AM17" s="7">
        <v>4.0487149052397182</v>
      </c>
      <c r="AN17" s="7">
        <v>4.1267487466051387</v>
      </c>
      <c r="AO17" s="7">
        <v>3.9813502525255915</v>
      </c>
      <c r="AP17" s="7">
        <v>4.2444506081659208</v>
      </c>
      <c r="AQ17" s="7">
        <v>4.099692117619826</v>
      </c>
      <c r="AR17" s="7">
        <v>3.9023049771082023</v>
      </c>
      <c r="AS17" s="7">
        <v>4.0724196630987581</v>
      </c>
      <c r="AT17" s="7">
        <v>3.9073746776667972</v>
      </c>
      <c r="AU17" s="7">
        <v>4.1374970940468287</v>
      </c>
      <c r="AV17" s="7">
        <v>4.8189728539423511</v>
      </c>
      <c r="AW17" s="7">
        <v>4.848464278610896</v>
      </c>
      <c r="AX17" s="7">
        <v>4.6909253583057673</v>
      </c>
      <c r="AY17" s="7">
        <v>4.4631172855024408</v>
      </c>
      <c r="AZ17" s="7">
        <v>4.2208194766201785</v>
      </c>
      <c r="BA17" s="7">
        <v>4.5266439010113322</v>
      </c>
      <c r="BB17" s="7">
        <v>4.5726135627008846</v>
      </c>
      <c r="BC17" s="7">
        <v>5.0594203897159478</v>
      </c>
      <c r="BD17" s="7">
        <v>5.3881166825693452</v>
      </c>
      <c r="BE17" s="7">
        <v>5.6224763389117953</v>
      </c>
      <c r="BF17" s="7">
        <v>5.3489655525331008</v>
      </c>
      <c r="BG17" s="7">
        <v>4.8437405573615733</v>
      </c>
      <c r="BH17" s="7">
        <v>4.8663644587287802</v>
      </c>
      <c r="BI17" s="7">
        <v>4.6524285702207644</v>
      </c>
      <c r="BJ17" s="7">
        <v>4.1686903013996819</v>
      </c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</row>
    <row r="18" spans="1:206" ht="14.25" customHeight="1">
      <c r="A18" s="6" t="s">
        <v>38</v>
      </c>
      <c r="B18" s="2">
        <v>2.8000000000000003</v>
      </c>
      <c r="C18" s="2">
        <v>3.6999999999999997</v>
      </c>
      <c r="D18" s="2">
        <v>2.91</v>
      </c>
      <c r="E18" s="2">
        <v>2.81</v>
      </c>
      <c r="F18" s="2">
        <v>2.78</v>
      </c>
      <c r="G18" s="2">
        <v>2.56</v>
      </c>
      <c r="H18" s="2">
        <v>2.8899999999999997</v>
      </c>
      <c r="I18" s="2">
        <v>2.5</v>
      </c>
      <c r="J18" s="2">
        <v>2.9000000000000004</v>
      </c>
      <c r="K18" s="2">
        <v>2.78</v>
      </c>
      <c r="L18" s="2">
        <v>2.04</v>
      </c>
      <c r="M18" s="2">
        <v>2.88</v>
      </c>
      <c r="N18" s="2">
        <v>2.65</v>
      </c>
      <c r="O18" s="2">
        <v>1.1299999999999999</v>
      </c>
      <c r="P18" s="2">
        <v>6.5699999999999994</v>
      </c>
      <c r="Q18" s="2">
        <v>3.16</v>
      </c>
      <c r="R18" s="2">
        <v>2.62</v>
      </c>
      <c r="S18" s="2">
        <v>2.67</v>
      </c>
      <c r="T18" s="2">
        <v>2.54</v>
      </c>
      <c r="U18" s="2">
        <v>2.4899999999999998</v>
      </c>
      <c r="V18" s="7">
        <v>1.592629576382713</v>
      </c>
      <c r="W18" s="7">
        <v>2.3388982145320614</v>
      </c>
      <c r="X18" s="7">
        <v>2.0542238096037617</v>
      </c>
      <c r="Y18" s="7">
        <v>2.1028224097087427</v>
      </c>
      <c r="Z18" s="7">
        <v>3.9968588795720983</v>
      </c>
      <c r="AA18" s="7">
        <v>3.2957964697243298</v>
      </c>
      <c r="AB18" s="7">
        <v>2.3306765112141217</v>
      </c>
      <c r="AC18" s="7">
        <v>2.0940193249883343</v>
      </c>
      <c r="AD18" s="7">
        <v>2.1997067456002752</v>
      </c>
      <c r="AE18" s="7">
        <v>2.3962606983912247</v>
      </c>
      <c r="AF18" s="7">
        <v>2.2445981740953842</v>
      </c>
      <c r="AG18" s="7">
        <v>2.2131175113026362</v>
      </c>
      <c r="AH18" s="7">
        <v>2.3702771112350001</v>
      </c>
      <c r="AI18" s="7">
        <v>2.4547842116988292</v>
      </c>
      <c r="AJ18" s="7">
        <v>2.7573545909359143</v>
      </c>
      <c r="AK18" s="7">
        <v>2.6679367961408036</v>
      </c>
      <c r="AL18" s="7">
        <v>2.5818211181347768</v>
      </c>
      <c r="AM18" s="7">
        <v>2.6333178982558532</v>
      </c>
      <c r="AN18" s="7">
        <v>2.5077423305375466</v>
      </c>
      <c r="AO18" s="7">
        <v>2.314616711019255</v>
      </c>
      <c r="AP18" s="7">
        <v>2.4999436383751128</v>
      </c>
      <c r="AQ18" s="7">
        <v>2.385059858313062</v>
      </c>
      <c r="AR18" s="7">
        <v>2.5662285234262385</v>
      </c>
      <c r="AS18" s="7">
        <v>2.1770302717416921</v>
      </c>
      <c r="AT18" s="7">
        <v>2.419209168571006</v>
      </c>
      <c r="AU18" s="7">
        <v>2.2147481325050253</v>
      </c>
      <c r="AV18" s="7">
        <v>2.0750545139765761</v>
      </c>
      <c r="AW18" s="7">
        <v>1.9354417071184424</v>
      </c>
      <c r="AX18" s="7">
        <v>2.158587775532999</v>
      </c>
      <c r="AY18" s="7">
        <v>2.5235351896890785</v>
      </c>
      <c r="AZ18" s="7">
        <v>2.408681031801251</v>
      </c>
      <c r="BA18" s="7">
        <v>2.1839047086233929</v>
      </c>
      <c r="BB18" s="7">
        <v>2.7614014227551067</v>
      </c>
      <c r="BC18" s="7">
        <v>2.8941010589354264</v>
      </c>
      <c r="BD18" s="7">
        <v>2.9679869849016507</v>
      </c>
      <c r="BE18" s="7">
        <v>2.6723543760940212</v>
      </c>
      <c r="BF18" s="7">
        <v>3.5482062040939906</v>
      </c>
      <c r="BG18" s="7">
        <v>3.3001187717459168</v>
      </c>
      <c r="BH18" s="7">
        <v>3.3490103551916355</v>
      </c>
      <c r="BI18" s="7">
        <v>3.2042091162794355</v>
      </c>
      <c r="BJ18" s="7">
        <v>3.542447024408832</v>
      </c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</row>
    <row r="19" spans="1:206" ht="14.25" customHeight="1">
      <c r="A19" s="6" t="s">
        <v>39</v>
      </c>
      <c r="B19" s="2">
        <v>2.8400000000000003</v>
      </c>
      <c r="C19" s="2">
        <v>3.49</v>
      </c>
      <c r="D19" s="2">
        <v>2.5700000000000003</v>
      </c>
      <c r="E19" s="2">
        <v>2.63</v>
      </c>
      <c r="F19" s="2">
        <v>2.33</v>
      </c>
      <c r="G19" s="2">
        <v>3.9</v>
      </c>
      <c r="H19" s="2">
        <v>4.71</v>
      </c>
      <c r="I19" s="2">
        <v>4.78</v>
      </c>
      <c r="J19" s="2">
        <v>3.1300000000000003</v>
      </c>
      <c r="K19" s="2">
        <v>4.62</v>
      </c>
      <c r="L19" s="2">
        <v>4.0199999999999996</v>
      </c>
      <c r="M19" s="2">
        <v>2.33</v>
      </c>
      <c r="N19" s="2">
        <v>3.93</v>
      </c>
      <c r="O19" s="2">
        <v>6.2799999999999994</v>
      </c>
      <c r="P19" s="2">
        <v>3.91</v>
      </c>
      <c r="Q19" s="2">
        <v>3.9</v>
      </c>
      <c r="R19" s="2">
        <v>3.8</v>
      </c>
      <c r="S19" s="2">
        <v>4.1900000000000004</v>
      </c>
      <c r="T19" s="2">
        <v>4.5699999999999994</v>
      </c>
      <c r="U19" s="2">
        <v>4.29</v>
      </c>
      <c r="V19" s="7">
        <v>4.3570381367284714</v>
      </c>
      <c r="W19" s="7">
        <v>5.9535158907478403</v>
      </c>
      <c r="X19" s="7">
        <v>6.3935773249508427</v>
      </c>
      <c r="Y19" s="7">
        <v>6.4759566032255842</v>
      </c>
      <c r="Z19" s="7">
        <v>6.085761141640166</v>
      </c>
      <c r="AA19" s="7">
        <v>8.0783545523122555</v>
      </c>
      <c r="AB19" s="7">
        <v>8.1830306518897853</v>
      </c>
      <c r="AC19" s="7">
        <v>7.3621181117973329</v>
      </c>
      <c r="AD19" s="7">
        <v>8.4403241545322434</v>
      </c>
      <c r="AE19" s="7">
        <v>7.5569799765535395</v>
      </c>
      <c r="AF19" s="7">
        <v>6.3616565642972134</v>
      </c>
      <c r="AG19" s="7">
        <v>6.6044072620511765</v>
      </c>
      <c r="AH19" s="7">
        <v>6.8586980893037737</v>
      </c>
      <c r="AI19" s="7">
        <v>7.6925943447469143</v>
      </c>
      <c r="AJ19" s="7">
        <v>6.8601112024192696</v>
      </c>
      <c r="AK19" s="7">
        <v>6.1371846800019361</v>
      </c>
      <c r="AL19" s="7">
        <v>7.1167236209764981</v>
      </c>
      <c r="AM19" s="7">
        <v>6.4117538478627303</v>
      </c>
      <c r="AN19" s="7">
        <v>6.5394458644452911</v>
      </c>
      <c r="AO19" s="7">
        <v>6.6511564429967196</v>
      </c>
      <c r="AP19" s="7">
        <v>7.3913437015286254</v>
      </c>
      <c r="AQ19" s="7">
        <v>7.1167305680417776</v>
      </c>
      <c r="AR19" s="7">
        <v>7.0832914977981556</v>
      </c>
      <c r="AS19" s="7">
        <v>6.7546431756008216</v>
      </c>
      <c r="AT19" s="7">
        <v>7.2639247767728801</v>
      </c>
      <c r="AU19" s="7">
        <v>7.347466918178311</v>
      </c>
      <c r="AV19" s="7">
        <v>5.3761313669071544</v>
      </c>
      <c r="AW19" s="7">
        <v>6.2242513276715217</v>
      </c>
      <c r="AX19" s="7">
        <v>6.6546878576909636</v>
      </c>
      <c r="AY19" s="7">
        <v>6.9441535060635786</v>
      </c>
      <c r="AZ19" s="7">
        <v>6.9676927854774986</v>
      </c>
      <c r="BA19" s="7">
        <v>7.9077823079417273</v>
      </c>
      <c r="BB19" s="7">
        <v>7.1244602056556419</v>
      </c>
      <c r="BC19" s="7">
        <v>7.9669473817472563</v>
      </c>
      <c r="BD19" s="7">
        <v>8.3780734513771868</v>
      </c>
      <c r="BE19" s="7">
        <v>9.105084461992794</v>
      </c>
      <c r="BF19" s="7">
        <v>8.3292353102185235</v>
      </c>
      <c r="BG19" s="7">
        <v>7.5525893086602611</v>
      </c>
      <c r="BH19" s="7">
        <v>7.3983726287738794</v>
      </c>
      <c r="BI19" s="7">
        <v>7.3162073682882269</v>
      </c>
      <c r="BJ19" s="7">
        <v>7.0538344823586909</v>
      </c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</row>
    <row r="20" spans="1:206" ht="14.25" customHeight="1">
      <c r="A20" s="6" t="s">
        <v>40</v>
      </c>
      <c r="B20" s="2">
        <v>3.7199999999999998</v>
      </c>
      <c r="C20" s="2">
        <v>3.27</v>
      </c>
      <c r="D20" s="2">
        <v>2.85</v>
      </c>
      <c r="E20" s="2">
        <v>3.54</v>
      </c>
      <c r="F20" s="2">
        <v>3.2</v>
      </c>
      <c r="G20" s="2">
        <v>3.11</v>
      </c>
      <c r="H20" s="2">
        <v>3.08</v>
      </c>
      <c r="I20" s="2">
        <v>3.4299999999999997</v>
      </c>
      <c r="J20" s="2">
        <v>3.6700000000000004</v>
      </c>
      <c r="K20" s="2">
        <v>3.85</v>
      </c>
      <c r="L20" s="2">
        <v>3.06</v>
      </c>
      <c r="M20" s="2">
        <v>3.56</v>
      </c>
      <c r="N20" s="2">
        <v>3.39</v>
      </c>
      <c r="O20" s="2">
        <v>3.62</v>
      </c>
      <c r="P20" s="2">
        <v>0.83</v>
      </c>
      <c r="Q20" s="2">
        <v>3.05</v>
      </c>
      <c r="R20" s="2">
        <v>3.3000000000000003</v>
      </c>
      <c r="S20" s="2">
        <v>3.4099999999999997</v>
      </c>
      <c r="T20" s="2">
        <v>2.46</v>
      </c>
      <c r="U20" s="2">
        <v>3.52</v>
      </c>
      <c r="V20" s="7">
        <v>2.1279501572220476</v>
      </c>
      <c r="W20" s="7">
        <v>3.1466400527849596</v>
      </c>
      <c r="X20" s="7">
        <v>2.7042523951159341</v>
      </c>
      <c r="Y20" s="7">
        <v>3.3930000878689865</v>
      </c>
      <c r="Z20" s="7">
        <v>2.3637164055800604</v>
      </c>
      <c r="AA20" s="7">
        <v>2.8855230264446643</v>
      </c>
      <c r="AB20" s="7">
        <v>2.488109074459036</v>
      </c>
      <c r="AC20" s="7">
        <v>3.1941593261714751</v>
      </c>
      <c r="AD20" s="7">
        <v>2.9374004009728405</v>
      </c>
      <c r="AE20" s="7">
        <v>3.2473338961628815</v>
      </c>
      <c r="AF20" s="7">
        <v>3.0153735998774645</v>
      </c>
      <c r="AG20" s="7">
        <v>4.1936902969428083</v>
      </c>
      <c r="AH20" s="7">
        <v>3.1155641984795452</v>
      </c>
      <c r="AI20" s="7">
        <v>3.2736796009729305</v>
      </c>
      <c r="AJ20" s="7">
        <v>3.2949797137997114</v>
      </c>
      <c r="AK20" s="7">
        <v>3.5809595067179476</v>
      </c>
      <c r="AL20" s="7">
        <v>3.4565963838422524</v>
      </c>
      <c r="AM20" s="7">
        <v>3.1602687543091221</v>
      </c>
      <c r="AN20" s="7">
        <v>3.5137715208270368</v>
      </c>
      <c r="AO20" s="7">
        <v>3.5346892071885803</v>
      </c>
      <c r="AP20" s="7">
        <v>3.2816843820428696</v>
      </c>
      <c r="AQ20" s="7">
        <v>3.0484837350270388</v>
      </c>
      <c r="AR20" s="7">
        <v>3.1125832456011988</v>
      </c>
      <c r="AS20" s="7">
        <v>3.120473784412817</v>
      </c>
      <c r="AT20" s="7">
        <v>2.6387198802574008</v>
      </c>
      <c r="AU20" s="7">
        <v>2.6851937767402174</v>
      </c>
      <c r="AV20" s="7">
        <v>2.4779224468891763</v>
      </c>
      <c r="AW20" s="7">
        <v>2.3404273725319751</v>
      </c>
      <c r="AX20" s="7">
        <v>2.5935524964697572</v>
      </c>
      <c r="AY20" s="7">
        <v>2.7881798595544285</v>
      </c>
      <c r="AZ20" s="7">
        <v>2.701498285266128</v>
      </c>
      <c r="BA20" s="7">
        <v>3.1309110245531966</v>
      </c>
      <c r="BB20" s="7">
        <v>2.5609931256987619</v>
      </c>
      <c r="BC20" s="7">
        <v>2.4813725109973133</v>
      </c>
      <c r="BD20" s="7">
        <v>2.4303496419626391</v>
      </c>
      <c r="BE20" s="7">
        <v>2.6231644176912003</v>
      </c>
      <c r="BF20" s="7">
        <v>2.0252473338959898</v>
      </c>
      <c r="BG20" s="7">
        <v>1.9425337502589541</v>
      </c>
      <c r="BH20" s="7">
        <v>2.2681398444977692</v>
      </c>
      <c r="BI20" s="7">
        <v>2.8799372568665143</v>
      </c>
      <c r="BJ20" s="7">
        <v>2.0093008293959529</v>
      </c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</row>
    <row r="21" spans="1:206" ht="14.25" customHeight="1">
      <c r="A21" s="6" t="s">
        <v>41</v>
      </c>
      <c r="B21" s="2">
        <v>3.88</v>
      </c>
      <c r="C21" s="2">
        <v>3.38</v>
      </c>
      <c r="D21" s="2">
        <v>3.9699999999999998</v>
      </c>
      <c r="E21" s="2">
        <v>3.83</v>
      </c>
      <c r="F21" s="2">
        <v>3.92</v>
      </c>
      <c r="G21" s="2">
        <v>3.47</v>
      </c>
      <c r="H21" s="2">
        <v>3.5700000000000003</v>
      </c>
      <c r="I21" s="2">
        <v>3.9800000000000004</v>
      </c>
      <c r="J21" s="2">
        <v>4.0599999999999996</v>
      </c>
      <c r="K21" s="2">
        <v>3.7699999999999996</v>
      </c>
      <c r="L21" s="2">
        <v>3.66</v>
      </c>
      <c r="M21" s="2">
        <v>4.21</v>
      </c>
      <c r="N21" s="2">
        <v>3.82</v>
      </c>
      <c r="O21" s="2">
        <v>2.82</v>
      </c>
      <c r="P21" s="2">
        <v>0.37</v>
      </c>
      <c r="Q21" s="2">
        <v>3.15</v>
      </c>
      <c r="R21" s="2">
        <v>3.26</v>
      </c>
      <c r="S21" s="2">
        <v>3.54</v>
      </c>
      <c r="T21" s="2">
        <v>1.3599999999999999</v>
      </c>
      <c r="U21" s="2">
        <v>4.49</v>
      </c>
      <c r="V21" s="7">
        <v>5.018767192161655</v>
      </c>
      <c r="W21" s="7">
        <v>4.0600634647025968</v>
      </c>
      <c r="X21" s="7">
        <v>3.1765400537308053</v>
      </c>
      <c r="Y21" s="7">
        <v>3.5093588925022976</v>
      </c>
      <c r="Z21" s="7">
        <v>2.4435550481709374</v>
      </c>
      <c r="AA21" s="7">
        <v>3.5797605888297577</v>
      </c>
      <c r="AB21" s="7">
        <v>1.6003543454082745</v>
      </c>
      <c r="AC21" s="7">
        <v>3.7076819989702012</v>
      </c>
      <c r="AD21" s="7">
        <v>3.3372117303575504</v>
      </c>
      <c r="AE21" s="7">
        <v>3.699546621371836</v>
      </c>
      <c r="AF21" s="7">
        <v>3.5038322330056979</v>
      </c>
      <c r="AG21" s="7">
        <v>3.9459924506995341</v>
      </c>
      <c r="AH21" s="7">
        <v>3.9768233728345934</v>
      </c>
      <c r="AI21" s="7">
        <v>3.8719663036500895</v>
      </c>
      <c r="AJ21" s="7">
        <v>3.7828021234230942</v>
      </c>
      <c r="AK21" s="7">
        <v>4.2667812005297145</v>
      </c>
      <c r="AL21" s="7">
        <v>4.3127121820684984</v>
      </c>
      <c r="AM21" s="7">
        <v>4.3800167661012752</v>
      </c>
      <c r="AN21" s="7">
        <v>4.2100186697155362</v>
      </c>
      <c r="AO21" s="7">
        <v>4.3026656492147461</v>
      </c>
      <c r="AP21" s="7">
        <v>4.4150807237294787</v>
      </c>
      <c r="AQ21" s="7">
        <v>4.2307118272587783</v>
      </c>
      <c r="AR21" s="7">
        <v>4.2855711294422596</v>
      </c>
      <c r="AS21" s="7">
        <v>4.3529863422840886</v>
      </c>
      <c r="AT21" s="7">
        <v>4.2554574886444243</v>
      </c>
      <c r="AU21" s="7">
        <v>3.9196792505013547</v>
      </c>
      <c r="AV21" s="7">
        <v>3.527453905861571</v>
      </c>
      <c r="AW21" s="7">
        <v>3.6978468048643172</v>
      </c>
      <c r="AX21" s="7">
        <v>4.1625066785161851</v>
      </c>
      <c r="AY21" s="7">
        <v>3.906085563106366</v>
      </c>
      <c r="AZ21" s="7">
        <v>3.8896483202966126</v>
      </c>
      <c r="BA21" s="7">
        <v>4.1595731551509312</v>
      </c>
      <c r="BB21" s="7">
        <v>3.7323393818441817</v>
      </c>
      <c r="BC21" s="7">
        <v>3.7077687721433596</v>
      </c>
      <c r="BD21" s="7">
        <v>3.7750159084998467</v>
      </c>
      <c r="BE21" s="7">
        <v>4.0430348584724651</v>
      </c>
      <c r="BF21" s="7">
        <v>4.2383877846078972</v>
      </c>
      <c r="BG21" s="7">
        <v>3.7393212565155292</v>
      </c>
      <c r="BH21" s="7">
        <v>3.5022906678678716</v>
      </c>
      <c r="BI21" s="7">
        <v>3.9418282302262728</v>
      </c>
      <c r="BJ21" s="7">
        <v>3.6642178868130904</v>
      </c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</row>
    <row r="22" spans="1:206" ht="14.25" customHeight="1">
      <c r="A22" s="6" t="s">
        <v>42</v>
      </c>
      <c r="B22" s="2">
        <v>1.8599999999999999</v>
      </c>
      <c r="C22" s="2">
        <v>2.5700000000000003</v>
      </c>
      <c r="D22" s="2">
        <v>2.37</v>
      </c>
      <c r="E22" s="2">
        <v>2.78</v>
      </c>
      <c r="F22" s="2">
        <v>3.2199999999999998</v>
      </c>
      <c r="G22" s="2">
        <v>2.81</v>
      </c>
      <c r="H22" s="2">
        <v>3.0700000000000003</v>
      </c>
      <c r="I22" s="2">
        <v>2.54</v>
      </c>
      <c r="J22" s="2">
        <v>2.6100000000000003</v>
      </c>
      <c r="K22" s="2">
        <v>2.76</v>
      </c>
      <c r="L22" s="2">
        <v>2.82</v>
      </c>
      <c r="M22" s="2">
        <v>2.62</v>
      </c>
      <c r="N22" s="2">
        <v>2.75</v>
      </c>
      <c r="O22" s="2">
        <v>4.87</v>
      </c>
      <c r="P22" s="2">
        <v>1.34</v>
      </c>
      <c r="Q22" s="2">
        <v>2.79</v>
      </c>
      <c r="R22" s="2">
        <v>2.2999999999999998</v>
      </c>
      <c r="S22" s="2">
        <v>2.9899999999999998</v>
      </c>
      <c r="T22" s="2">
        <v>2.25</v>
      </c>
      <c r="U22" s="2">
        <v>2.2599999999999998</v>
      </c>
      <c r="V22" s="7">
        <v>2.6760527418004285</v>
      </c>
      <c r="W22" s="7">
        <v>2.2507262057223496</v>
      </c>
      <c r="X22" s="7">
        <v>2.3808239790819856</v>
      </c>
      <c r="Y22" s="7">
        <v>2.5862495203910063</v>
      </c>
      <c r="Z22" s="7">
        <v>5.5497354812845385</v>
      </c>
      <c r="AA22" s="7">
        <v>3.0576013305687999</v>
      </c>
      <c r="AB22" s="7">
        <v>4.032403984683711</v>
      </c>
      <c r="AC22" s="7">
        <v>2.1153474528584297</v>
      </c>
      <c r="AD22" s="7">
        <v>1.7764502648143301</v>
      </c>
      <c r="AE22" s="7">
        <v>1.7148148385133986</v>
      </c>
      <c r="AF22" s="7">
        <v>1.8133161428080853</v>
      </c>
      <c r="AG22" s="7">
        <v>2.5263876518034882</v>
      </c>
      <c r="AH22" s="7">
        <v>2.0821438621925461</v>
      </c>
      <c r="AI22" s="7">
        <v>1.9183616968799087</v>
      </c>
      <c r="AJ22" s="7">
        <v>1.9028978379279655</v>
      </c>
      <c r="AK22" s="7">
        <v>1.9798797709132017</v>
      </c>
      <c r="AL22" s="7">
        <v>1.7057737948499936</v>
      </c>
      <c r="AM22" s="7">
        <v>1.571414998625666</v>
      </c>
      <c r="AN22" s="7">
        <v>2.0918675366539481</v>
      </c>
      <c r="AO22" s="7">
        <v>2.0534792568467921</v>
      </c>
      <c r="AP22" s="7">
        <v>1.8277026033316528</v>
      </c>
      <c r="AQ22" s="7">
        <v>1.6161841274754867</v>
      </c>
      <c r="AR22" s="7">
        <v>1.6822163862884432</v>
      </c>
      <c r="AS22" s="7">
        <v>1.9243185981685722</v>
      </c>
      <c r="AT22" s="7">
        <v>1.5277105634429453</v>
      </c>
      <c r="AU22" s="7">
        <v>1.2502126063537007</v>
      </c>
      <c r="AV22" s="7">
        <v>1.0930787668438655</v>
      </c>
      <c r="AW22" s="7">
        <v>1.4293994136293042</v>
      </c>
      <c r="AX22" s="7">
        <v>1.4461070543632686</v>
      </c>
      <c r="AY22" s="7">
        <v>1.5049400655932255</v>
      </c>
      <c r="AZ22" s="7">
        <v>1.6566952123875358</v>
      </c>
      <c r="BA22" s="7">
        <v>1.9989454549830317</v>
      </c>
      <c r="BB22" s="7">
        <v>1.8593201921230103</v>
      </c>
      <c r="BC22" s="7">
        <v>1.7953770682071546</v>
      </c>
      <c r="BD22" s="7">
        <v>2.0842783540954137</v>
      </c>
      <c r="BE22" s="7">
        <v>2.1868479374352647</v>
      </c>
      <c r="BF22" s="7">
        <v>1.7907345863744748</v>
      </c>
      <c r="BG22" s="7">
        <v>1.4659368177506193</v>
      </c>
      <c r="BH22" s="7">
        <v>1.6108621927554128</v>
      </c>
      <c r="BI22" s="7">
        <v>2.0025448169475615</v>
      </c>
      <c r="BJ22" s="7">
        <v>1.736362590988902</v>
      </c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</row>
    <row r="23" spans="1:206" ht="14.25" customHeight="1">
      <c r="A23" s="6" t="s">
        <v>43</v>
      </c>
      <c r="B23" s="2">
        <v>2.2200000000000002</v>
      </c>
      <c r="C23" s="2">
        <v>1.6500000000000001</v>
      </c>
      <c r="D23" s="2">
        <v>1.76</v>
      </c>
      <c r="E23" s="2">
        <v>2.0699999999999998</v>
      </c>
      <c r="F23" s="2">
        <v>1.9</v>
      </c>
      <c r="G23" s="2">
        <v>1.3</v>
      </c>
      <c r="H23" s="2">
        <v>1.9800000000000002</v>
      </c>
      <c r="I23" s="2">
        <v>2.31</v>
      </c>
      <c r="J23" s="2">
        <v>1.87</v>
      </c>
      <c r="K23" s="2">
        <v>1.53</v>
      </c>
      <c r="L23" s="2">
        <v>2.08</v>
      </c>
      <c r="M23" s="2">
        <v>1.9800000000000002</v>
      </c>
      <c r="N23" s="2">
        <v>1.8599999999999999</v>
      </c>
      <c r="O23" s="2">
        <v>0.74</v>
      </c>
      <c r="P23" s="2">
        <v>0.13</v>
      </c>
      <c r="Q23" s="2">
        <v>1.4500000000000002</v>
      </c>
      <c r="R23" s="2">
        <v>1.87</v>
      </c>
      <c r="S23" s="2">
        <v>1.5699999999999998</v>
      </c>
      <c r="T23" s="2">
        <v>1.31</v>
      </c>
      <c r="U23" s="2">
        <v>0.43</v>
      </c>
      <c r="V23" s="7">
        <v>1.8132560540762315</v>
      </c>
      <c r="W23" s="7">
        <v>1.4895356949790961</v>
      </c>
      <c r="X23" s="7">
        <v>1.3104385790933093</v>
      </c>
      <c r="Y23" s="7">
        <v>1.8748613804032779</v>
      </c>
      <c r="Z23" s="7">
        <v>0.66283274838799688</v>
      </c>
      <c r="AA23" s="7">
        <v>1.6401760957086369</v>
      </c>
      <c r="AB23" s="7">
        <v>3.4718801889874058</v>
      </c>
      <c r="AC23" s="7">
        <v>1.4865473683409063</v>
      </c>
      <c r="AD23" s="7">
        <v>1.4963353618776845</v>
      </c>
      <c r="AE23" s="7">
        <v>1.5362807719085607</v>
      </c>
      <c r="AF23" s="7">
        <v>1.4213664850940915</v>
      </c>
      <c r="AG23" s="7">
        <v>1.8435145625919951</v>
      </c>
      <c r="AH23" s="7">
        <v>1.495964310510334</v>
      </c>
      <c r="AI23" s="7">
        <v>1.5185755552202511</v>
      </c>
      <c r="AJ23" s="7">
        <v>1.5330553672425422</v>
      </c>
      <c r="AK23" s="7">
        <v>1.6562527291371687</v>
      </c>
      <c r="AL23" s="7">
        <v>1.5550553952940691</v>
      </c>
      <c r="AM23" s="7">
        <v>1.4511466861075135</v>
      </c>
      <c r="AN23" s="7">
        <v>1.4305872749048008</v>
      </c>
      <c r="AO23" s="7">
        <v>1.1546043020543018</v>
      </c>
      <c r="AP23" s="7">
        <v>1.4201027867916916</v>
      </c>
      <c r="AQ23" s="7">
        <v>1.3070367429007939</v>
      </c>
      <c r="AR23" s="7">
        <v>1.4289903503788848</v>
      </c>
      <c r="AS23" s="7">
        <v>1.4502454479216724</v>
      </c>
      <c r="AT23" s="7">
        <v>1.3085045340958141</v>
      </c>
      <c r="AU23" s="7">
        <v>1.001998902893966</v>
      </c>
      <c r="AV23" s="7">
        <v>1.0580135599097753</v>
      </c>
      <c r="AW23" s="7">
        <v>1.1678363257750279</v>
      </c>
      <c r="AX23" s="7">
        <v>1.3325434138427061</v>
      </c>
      <c r="AY23" s="7">
        <v>1.3044660826630585</v>
      </c>
      <c r="AZ23" s="7">
        <v>1.3496399935328944</v>
      </c>
      <c r="BA23" s="7">
        <v>1.5288984760665751</v>
      </c>
      <c r="BB23" s="7">
        <v>1.3744310849332237</v>
      </c>
      <c r="BC23" s="7">
        <v>1.4070257329979801</v>
      </c>
      <c r="BD23" s="7">
        <v>1.5947432127855672</v>
      </c>
      <c r="BE23" s="7">
        <v>1.7021672020356675</v>
      </c>
      <c r="BF23" s="7">
        <v>1.5116649538538778</v>
      </c>
      <c r="BG23" s="7">
        <v>1.2563026042667129</v>
      </c>
      <c r="BH23" s="7">
        <v>1.2834724747051052</v>
      </c>
      <c r="BI23" s="7">
        <v>1.4766830788818512</v>
      </c>
      <c r="BJ23" s="7">
        <v>1.3032603345444358</v>
      </c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</row>
    <row r="24" spans="1:206" ht="14.25" customHeight="1">
      <c r="A24" s="6" t="s">
        <v>44</v>
      </c>
      <c r="B24" s="2">
        <v>1.4500000000000002</v>
      </c>
      <c r="C24" s="2">
        <v>1.5599999999999998</v>
      </c>
      <c r="D24" s="2">
        <v>1.25</v>
      </c>
      <c r="E24" s="2">
        <v>1.28</v>
      </c>
      <c r="F24" s="2">
        <v>1.25</v>
      </c>
      <c r="G24" s="2">
        <v>1.54</v>
      </c>
      <c r="H24" s="2">
        <v>1.72</v>
      </c>
      <c r="I24" s="2">
        <v>1.5699999999999998</v>
      </c>
      <c r="J24" s="2">
        <v>1.28</v>
      </c>
      <c r="K24" s="2">
        <v>1.54</v>
      </c>
      <c r="L24" s="2">
        <v>1.26</v>
      </c>
      <c r="M24" s="2">
        <v>1.18</v>
      </c>
      <c r="N24" s="2">
        <v>1.44</v>
      </c>
      <c r="O24" s="2">
        <v>3.2199999999999998</v>
      </c>
      <c r="P24" s="2">
        <v>1.8800000000000001</v>
      </c>
      <c r="Q24" s="2">
        <v>1.7500000000000002</v>
      </c>
      <c r="R24" s="2">
        <v>1.7999999999999998</v>
      </c>
      <c r="S24" s="2">
        <v>1.77</v>
      </c>
      <c r="T24" s="2">
        <v>3.9699999999999998</v>
      </c>
      <c r="U24" s="2">
        <v>1.92</v>
      </c>
      <c r="V24" s="7">
        <v>1.7446726718144303</v>
      </c>
      <c r="W24" s="7">
        <v>3.087391314243519</v>
      </c>
      <c r="X24" s="7">
        <v>3.3020000684106767</v>
      </c>
      <c r="Y24" s="7">
        <v>3.035378540849055</v>
      </c>
      <c r="Z24" s="7">
        <v>3.0932113100847176</v>
      </c>
      <c r="AA24" s="7">
        <v>1.6401760957086369</v>
      </c>
      <c r="AB24" s="7">
        <v>3.7257838061189346</v>
      </c>
      <c r="AC24" s="7">
        <v>3.2676526212011012</v>
      </c>
      <c r="AD24" s="7">
        <v>3.0063102818664476</v>
      </c>
      <c r="AE24" s="7">
        <v>3.349324291220368</v>
      </c>
      <c r="AF24" s="7">
        <v>3.1464529159955736</v>
      </c>
      <c r="AG24" s="7">
        <v>2.5440700615586618</v>
      </c>
      <c r="AH24" s="7">
        <v>2.7519206568659214</v>
      </c>
      <c r="AI24" s="7">
        <v>3.0188891352844891</v>
      </c>
      <c r="AJ24" s="7">
        <v>3.0980804750826505</v>
      </c>
      <c r="AK24" s="7">
        <v>2.3916659931565141</v>
      </c>
      <c r="AL24" s="7">
        <v>2.5378544191043355</v>
      </c>
      <c r="AM24" s="7">
        <v>2.6403595758091827</v>
      </c>
      <c r="AN24" s="7">
        <v>2.3599324933953385</v>
      </c>
      <c r="AO24" s="7">
        <v>2.1374057662209816</v>
      </c>
      <c r="AP24" s="7">
        <v>2.2277730063471424</v>
      </c>
      <c r="AQ24" s="7">
        <v>2.1856270853609456</v>
      </c>
      <c r="AR24" s="7">
        <v>2.1422504724792248</v>
      </c>
      <c r="AS24" s="7">
        <v>1.9663465252377665</v>
      </c>
      <c r="AT24" s="7">
        <v>2.1744057907022873</v>
      </c>
      <c r="AU24" s="7">
        <v>1.9872716823247687</v>
      </c>
      <c r="AV24" s="7">
        <v>1.4938082535514101</v>
      </c>
      <c r="AW24" s="7">
        <v>1.8161556228851343</v>
      </c>
      <c r="AX24" s="7">
        <v>2.1601450723140241</v>
      </c>
      <c r="AY24" s="7">
        <v>2.1957789192268935</v>
      </c>
      <c r="AZ24" s="7">
        <v>2.231715067626749</v>
      </c>
      <c r="BA24" s="7">
        <v>2.3297721175913897</v>
      </c>
      <c r="BB24" s="7">
        <v>1.699364901661329</v>
      </c>
      <c r="BC24" s="7">
        <v>2.0636507136476103</v>
      </c>
      <c r="BD24" s="7">
        <v>2.0501145552475966</v>
      </c>
      <c r="BE24" s="7">
        <v>1.9900693151119364</v>
      </c>
      <c r="BF24" s="7">
        <v>2.2322289833541378</v>
      </c>
      <c r="BG24" s="7">
        <v>2.0740533256306355</v>
      </c>
      <c r="BH24" s="7">
        <v>1.9556905029918117</v>
      </c>
      <c r="BI24" s="7">
        <v>2.3775044398268506</v>
      </c>
      <c r="BJ24" s="7">
        <v>2.5806869596553215</v>
      </c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</row>
    <row r="25" spans="1:206" ht="14.25" customHeight="1">
      <c r="A25" s="6" t="s">
        <v>45</v>
      </c>
      <c r="B25" s="2">
        <v>1.92</v>
      </c>
      <c r="C25" s="2">
        <v>0.97</v>
      </c>
      <c r="D25" s="2">
        <v>0.88</v>
      </c>
      <c r="E25" s="2">
        <v>0.89999999999999991</v>
      </c>
      <c r="F25" s="2">
        <v>0.83</v>
      </c>
      <c r="G25" s="2">
        <v>0.91</v>
      </c>
      <c r="H25" s="2">
        <v>0.65</v>
      </c>
      <c r="I25" s="2">
        <v>0.61</v>
      </c>
      <c r="J25" s="2">
        <v>0.59</v>
      </c>
      <c r="K25" s="2">
        <v>0.67</v>
      </c>
      <c r="L25" s="2">
        <v>0.86999999999999988</v>
      </c>
      <c r="M25" s="2">
        <v>0.55999999999999994</v>
      </c>
      <c r="N25" s="2">
        <v>0.69</v>
      </c>
      <c r="O25" s="2">
        <v>0.76</v>
      </c>
      <c r="P25" s="2">
        <v>0.13</v>
      </c>
      <c r="Q25" s="2">
        <v>0.69</v>
      </c>
      <c r="R25" s="2">
        <v>0.51</v>
      </c>
      <c r="S25" s="2">
        <v>0.74</v>
      </c>
      <c r="T25" s="2">
        <v>0.83</v>
      </c>
      <c r="U25" s="2">
        <v>0.67</v>
      </c>
      <c r="V25" s="7">
        <v>0.52365131907513829</v>
      </c>
      <c r="W25" s="7">
        <v>0.40429649855835537</v>
      </c>
      <c r="X25" s="7">
        <v>0.38301212834615694</v>
      </c>
      <c r="Y25" s="7">
        <v>0.4737488870969262</v>
      </c>
      <c r="Z25" s="7">
        <v>1.0249480339113854</v>
      </c>
      <c r="AA25" s="7">
        <v>0.41052151944712989</v>
      </c>
      <c r="AB25" s="7">
        <v>0.19814938968646087</v>
      </c>
      <c r="AC25" s="7">
        <v>0.33212609570461438</v>
      </c>
      <c r="AD25" s="7">
        <v>0.36560836918933459</v>
      </c>
      <c r="AE25" s="7">
        <v>0.44012514295855537</v>
      </c>
      <c r="AF25" s="7">
        <v>0.51895385434386399</v>
      </c>
      <c r="AG25" s="7">
        <v>0.31625060234171587</v>
      </c>
      <c r="AH25" s="7">
        <v>0.27881244341999628</v>
      </c>
      <c r="AI25" s="7">
        <v>0.36234368045246534</v>
      </c>
      <c r="AJ25" s="7">
        <v>0.41693979747959897</v>
      </c>
      <c r="AK25" s="7">
        <v>0.3913072119112731</v>
      </c>
      <c r="AL25" s="7">
        <v>0.35985626608567323</v>
      </c>
      <c r="AM25" s="7">
        <v>0.29315627520482834</v>
      </c>
      <c r="AN25" s="7">
        <v>0.30603949654182844</v>
      </c>
      <c r="AO25" s="7">
        <v>0.37901471996686142</v>
      </c>
      <c r="AP25" s="7">
        <v>0.34180360596749504</v>
      </c>
      <c r="AQ25" s="7">
        <v>0.31282673865690613</v>
      </c>
      <c r="AR25" s="7">
        <v>0.35227649551217805</v>
      </c>
      <c r="AS25" s="7">
        <v>0.36896428968795303</v>
      </c>
      <c r="AT25" s="7">
        <v>0.29799790020206501</v>
      </c>
      <c r="AU25" s="7">
        <v>0.30845082736586027</v>
      </c>
      <c r="AV25" s="7">
        <v>0.28275757877984331</v>
      </c>
      <c r="AW25" s="7">
        <v>0.28422679428112385</v>
      </c>
      <c r="AX25" s="7">
        <v>0.33559332963366328</v>
      </c>
      <c r="AY25" s="7">
        <v>0.34366643969330907</v>
      </c>
      <c r="AZ25" s="7">
        <v>0.3225168085455461</v>
      </c>
      <c r="BA25" s="7">
        <v>0.34564714032085792</v>
      </c>
      <c r="BB25" s="7">
        <v>0.28796899841901075</v>
      </c>
      <c r="BC25" s="7">
        <v>0.32639244558169506</v>
      </c>
      <c r="BD25" s="7">
        <v>0.34530727563840624</v>
      </c>
      <c r="BE25" s="7">
        <v>0.3320939711829855</v>
      </c>
      <c r="BF25" s="7">
        <v>0.27571050112298995</v>
      </c>
      <c r="BG25" s="7">
        <v>0.27364077260935782</v>
      </c>
      <c r="BH25" s="7">
        <v>0.26972172936750999</v>
      </c>
      <c r="BI25" s="7">
        <v>0.33957884060861226</v>
      </c>
      <c r="BJ25" s="7">
        <v>0.30741051787647111</v>
      </c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</row>
    <row r="26" spans="1:206" ht="14.25" customHeight="1">
      <c r="A26" s="6" t="s">
        <v>46</v>
      </c>
      <c r="B26" s="2">
        <v>1.06</v>
      </c>
      <c r="C26" s="2">
        <v>1.0900000000000001</v>
      </c>
      <c r="D26" s="2">
        <v>0.86999999999999988</v>
      </c>
      <c r="E26" s="2">
        <v>1.0699999999999998</v>
      </c>
      <c r="F26" s="2">
        <v>1.08</v>
      </c>
      <c r="G26" s="2">
        <v>1.0999999999999999</v>
      </c>
      <c r="H26" s="2">
        <v>0.67</v>
      </c>
      <c r="I26" s="2">
        <v>0.86999999999999988</v>
      </c>
      <c r="J26" s="2">
        <v>0.73</v>
      </c>
      <c r="K26" s="2">
        <v>0.82000000000000006</v>
      </c>
      <c r="L26" s="2">
        <v>0.97</v>
      </c>
      <c r="M26" s="2">
        <v>0.77999999999999992</v>
      </c>
      <c r="N26" s="2">
        <v>0.85000000000000009</v>
      </c>
      <c r="O26" s="2">
        <v>0.73</v>
      </c>
      <c r="P26" s="2">
        <v>0.12</v>
      </c>
      <c r="Q26" s="2">
        <v>0.82000000000000006</v>
      </c>
      <c r="R26" s="2">
        <v>0.75</v>
      </c>
      <c r="S26" s="2">
        <v>0.89</v>
      </c>
      <c r="T26" s="2">
        <v>0.92999999999999994</v>
      </c>
      <c r="U26" s="2">
        <v>0.79</v>
      </c>
      <c r="V26" s="7">
        <v>0.64413697928132374</v>
      </c>
      <c r="W26" s="7">
        <v>0.59655305338825959</v>
      </c>
      <c r="X26" s="7">
        <v>0.57101377913816209</v>
      </c>
      <c r="Y26" s="7">
        <v>0.67912140394015708</v>
      </c>
      <c r="Z26" s="7">
        <v>0.26461084722261524</v>
      </c>
      <c r="AA26" s="7">
        <v>0.69086874292833178</v>
      </c>
      <c r="AB26" s="7">
        <v>0.58481847415640564</v>
      </c>
      <c r="AC26" s="7">
        <v>0.55200954135177738</v>
      </c>
      <c r="AD26" s="7">
        <v>0.60557327449098652</v>
      </c>
      <c r="AE26" s="7">
        <v>0.6967951876065076</v>
      </c>
      <c r="AF26" s="7">
        <v>0.56153690205805684</v>
      </c>
      <c r="AG26" s="7">
        <v>0.67580763897725216</v>
      </c>
      <c r="AH26" s="7">
        <v>0.69242086793358271</v>
      </c>
      <c r="AI26" s="7">
        <v>0.85082581110249089</v>
      </c>
      <c r="AJ26" s="7">
        <v>0.70000718292053377</v>
      </c>
      <c r="AK26" s="7">
        <v>0.68024479923338455</v>
      </c>
      <c r="AL26" s="7">
        <v>0.87635931390406363</v>
      </c>
      <c r="AM26" s="7">
        <v>0.81940456924333804</v>
      </c>
      <c r="AN26" s="7">
        <v>0.63771050366090476</v>
      </c>
      <c r="AO26" s="7">
        <v>0.84185599425726765</v>
      </c>
      <c r="AP26" s="7">
        <v>0.76749672324580642</v>
      </c>
      <c r="AQ26" s="7">
        <v>0.95310064456563437</v>
      </c>
      <c r="AR26" s="7">
        <v>0.82682321761242406</v>
      </c>
      <c r="AS26" s="7">
        <v>0.89384902611065364</v>
      </c>
      <c r="AT26" s="7">
        <v>0.84007633087489086</v>
      </c>
      <c r="AU26" s="7">
        <v>0.86234189862624477</v>
      </c>
      <c r="AV26" s="7">
        <v>0.84341077585302104</v>
      </c>
      <c r="AW26" s="7">
        <v>0.92677233094512823</v>
      </c>
      <c r="AX26" s="7">
        <v>0.94680003261000745</v>
      </c>
      <c r="AY26" s="7">
        <v>0.90543403286281132</v>
      </c>
      <c r="AZ26" s="7">
        <v>0.87189214816011207</v>
      </c>
      <c r="BA26" s="7">
        <v>1.0135047626753231</v>
      </c>
      <c r="BB26" s="7">
        <v>0.96178057302969588</v>
      </c>
      <c r="BC26" s="7">
        <v>1.0779840467676611</v>
      </c>
      <c r="BD26" s="7">
        <v>1.020451311802681</v>
      </c>
      <c r="BE26" s="7">
        <v>1.1948334328329542</v>
      </c>
      <c r="BF26" s="7">
        <v>1.0896232746225687</v>
      </c>
      <c r="BG26" s="7">
        <v>1.0696543863776391</v>
      </c>
      <c r="BH26" s="7">
        <v>1.0163964928236211</v>
      </c>
      <c r="BI26" s="7">
        <v>1.148386780047167</v>
      </c>
      <c r="BJ26" s="7">
        <v>1.0671445291446897</v>
      </c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</row>
    <row r="27" spans="1:206" ht="14.25" customHeight="1">
      <c r="A27" s="6" t="s">
        <v>47</v>
      </c>
      <c r="B27" s="2">
        <v>1.23</v>
      </c>
      <c r="C27" s="2">
        <v>1.06</v>
      </c>
      <c r="D27" s="2">
        <v>1.25</v>
      </c>
      <c r="E27" s="2">
        <v>1</v>
      </c>
      <c r="F27" s="2">
        <v>1.1599999999999999</v>
      </c>
      <c r="G27" s="2">
        <v>1.1499999999999999</v>
      </c>
      <c r="H27" s="2">
        <v>0.97</v>
      </c>
      <c r="I27" s="2">
        <v>1</v>
      </c>
      <c r="J27" s="2">
        <v>1.04</v>
      </c>
      <c r="K27" s="2">
        <v>1.23</v>
      </c>
      <c r="L27" s="2">
        <v>0.9900000000000001</v>
      </c>
      <c r="M27" s="2">
        <v>0.97</v>
      </c>
      <c r="N27" s="2">
        <v>1.05</v>
      </c>
      <c r="O27" s="2">
        <v>0.44999999999999996</v>
      </c>
      <c r="P27" s="2">
        <v>0.12</v>
      </c>
      <c r="Q27" s="2">
        <v>0.82000000000000006</v>
      </c>
      <c r="R27" s="2">
        <v>0.04</v>
      </c>
      <c r="S27" s="2">
        <v>0.95</v>
      </c>
      <c r="T27" s="2">
        <v>0.97</v>
      </c>
      <c r="U27" s="2">
        <v>0.86999999999999988</v>
      </c>
      <c r="V27" s="7">
        <v>1.5484169256966664</v>
      </c>
      <c r="W27" s="7">
        <v>1.1173442248512226</v>
      </c>
      <c r="X27" s="7">
        <v>0.620476798580192</v>
      </c>
      <c r="Y27" s="7">
        <v>0.65691795295622135</v>
      </c>
      <c r="Z27" s="7">
        <v>0.12522552804338988</v>
      </c>
      <c r="AA27" s="7">
        <v>0.92472375410352536</v>
      </c>
      <c r="AB27" s="7">
        <v>0.65467834564666194</v>
      </c>
      <c r="AC27" s="7">
        <v>0.63144590405766787</v>
      </c>
      <c r="AD27" s="7">
        <v>0.67405103699089919</v>
      </c>
      <c r="AE27" s="7">
        <v>0.80408571234718251</v>
      </c>
      <c r="AF27" s="7">
        <v>0.84000947064632181</v>
      </c>
      <c r="AG27" s="7">
        <v>0.49623453159775122</v>
      </c>
      <c r="AH27" s="7">
        <v>0.65837805656643378</v>
      </c>
      <c r="AI27" s="7">
        <v>0.58620481822945048</v>
      </c>
      <c r="AJ27" s="7">
        <v>0.60285514349996683</v>
      </c>
      <c r="AK27" s="7">
        <v>0.54059494014055198</v>
      </c>
      <c r="AL27" s="7">
        <v>0.56978439597780139</v>
      </c>
      <c r="AM27" s="7">
        <v>0.62240282911788014</v>
      </c>
      <c r="AN27" s="7">
        <v>0.52157630716404513</v>
      </c>
      <c r="AO27" s="7">
        <v>0.49916187158736103</v>
      </c>
      <c r="AP27" s="7">
        <v>0.6231450165320328</v>
      </c>
      <c r="AQ27" s="7">
        <v>0.48637882807489691</v>
      </c>
      <c r="AR27" s="7">
        <v>0.53727125248398933</v>
      </c>
      <c r="AS27" s="7">
        <v>0.5366125958978667</v>
      </c>
      <c r="AT27" s="7">
        <v>0.55842340185199701</v>
      </c>
      <c r="AU27" s="7">
        <v>0.41373256343142278</v>
      </c>
      <c r="AV27" s="7">
        <v>0.4674818821685584</v>
      </c>
      <c r="AW27" s="7">
        <v>0.45662483870467796</v>
      </c>
      <c r="AX27" s="7">
        <v>0.53391937158954872</v>
      </c>
      <c r="AY27" s="7">
        <v>0.52179154394531913</v>
      </c>
      <c r="AZ27" s="7">
        <v>0.51724461018590251</v>
      </c>
      <c r="BA27" s="7">
        <v>0.62226806513585442</v>
      </c>
      <c r="BB27" s="7">
        <v>0.5352118745193476</v>
      </c>
      <c r="BC27" s="7">
        <v>0.59179165252913291</v>
      </c>
      <c r="BD27" s="7">
        <v>0.61734633971274189</v>
      </c>
      <c r="BE27" s="7">
        <v>0.67450733696878795</v>
      </c>
      <c r="BF27" s="7">
        <v>0.94928493965549587</v>
      </c>
      <c r="BG27" s="7">
        <v>0.7241000223000974</v>
      </c>
      <c r="BH27" s="7">
        <v>0.74477617062514601</v>
      </c>
      <c r="BI27" s="7">
        <v>0.73507973378384128</v>
      </c>
      <c r="BJ27" s="7">
        <v>0.63107916635819228</v>
      </c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</row>
    <row r="28" spans="1:206" ht="14.25" customHeight="1">
      <c r="A28" s="6" t="s">
        <v>48</v>
      </c>
      <c r="B28" s="2">
        <v>1.44</v>
      </c>
      <c r="C28" s="2">
        <v>0.98</v>
      </c>
      <c r="D28" s="2">
        <v>1.39</v>
      </c>
      <c r="E28" s="2">
        <v>1.54</v>
      </c>
      <c r="F28" s="2">
        <v>1.28</v>
      </c>
      <c r="G28" s="2">
        <v>3.4299999999999997</v>
      </c>
      <c r="H28" s="2">
        <v>3.65</v>
      </c>
      <c r="I28" s="2">
        <v>5.6000000000000005</v>
      </c>
      <c r="J28" s="2">
        <v>4.47</v>
      </c>
      <c r="K28" s="2">
        <v>3.9</v>
      </c>
      <c r="L28" s="2">
        <v>3.93</v>
      </c>
      <c r="M28" s="2">
        <v>3.27</v>
      </c>
      <c r="N28" s="2">
        <v>4.04</v>
      </c>
      <c r="O28" s="2">
        <v>4.9799999999999995</v>
      </c>
      <c r="P28" s="2">
        <v>5.36</v>
      </c>
      <c r="Q28" s="2">
        <v>3.5900000000000003</v>
      </c>
      <c r="R28" s="2">
        <v>3.6700000000000004</v>
      </c>
      <c r="S28" s="2">
        <v>3.6799999999999997</v>
      </c>
      <c r="T28" s="2">
        <v>5.3199999999999994</v>
      </c>
      <c r="U28" s="2">
        <v>4.93</v>
      </c>
      <c r="V28" s="7">
        <v>0.50720580338360055</v>
      </c>
      <c r="W28" s="7">
        <v>0.76935143815269769</v>
      </c>
      <c r="X28" s="7">
        <v>1.5002941980573441</v>
      </c>
      <c r="Y28" s="7">
        <v>1.0591286597079872</v>
      </c>
      <c r="Z28" s="7">
        <v>2.2352983705954736</v>
      </c>
      <c r="AA28" s="7">
        <v>0.77073716063766973</v>
      </c>
      <c r="AB28" s="7">
        <v>0.48940139890155476</v>
      </c>
      <c r="AC28" s="7">
        <v>0.69528103862124013</v>
      </c>
      <c r="AD28" s="7">
        <v>1.2701289427668476</v>
      </c>
      <c r="AE28" s="7">
        <v>0.65609280682382798</v>
      </c>
      <c r="AF28" s="7">
        <v>1.7225655816842864</v>
      </c>
      <c r="AG28" s="7">
        <v>1.4664941994852565</v>
      </c>
      <c r="AH28" s="7">
        <v>0.46555345286759875</v>
      </c>
      <c r="AI28" s="7">
        <v>0.50582787313280297</v>
      </c>
      <c r="AJ28" s="7">
        <v>0.41694343108253479</v>
      </c>
      <c r="AK28" s="7">
        <v>0.46890150650753093</v>
      </c>
      <c r="AL28" s="7">
        <v>0.59557921197788288</v>
      </c>
      <c r="AM28" s="7">
        <v>0.43113920857409516</v>
      </c>
      <c r="AN28" s="7">
        <v>0.53800333079690965</v>
      </c>
      <c r="AO28" s="7">
        <v>0.54543698191581247</v>
      </c>
      <c r="AP28" s="7">
        <v>0.5680800070559292</v>
      </c>
      <c r="AQ28" s="7">
        <v>0.54349916145780219</v>
      </c>
      <c r="AR28" s="7">
        <v>0.51914020259908489</v>
      </c>
      <c r="AS28" s="7">
        <v>0.61858296867735363</v>
      </c>
      <c r="AT28" s="7">
        <v>0.6097456973698786</v>
      </c>
      <c r="AU28" s="7">
        <v>0.56635156460633829</v>
      </c>
      <c r="AV28" s="7">
        <v>0.93807023293323766</v>
      </c>
      <c r="AW28" s="7">
        <v>0.61672837237092448</v>
      </c>
      <c r="AX28" s="7">
        <v>0.60725286311352955</v>
      </c>
      <c r="AY28" s="7">
        <v>0.63268605261827526</v>
      </c>
      <c r="AZ28" s="7">
        <v>0.51360342560681127</v>
      </c>
      <c r="BA28" s="7">
        <v>0.65599461701449024</v>
      </c>
      <c r="BB28" s="7">
        <v>0.76138513127789209</v>
      </c>
      <c r="BC28" s="7">
        <v>0.8294684699088497</v>
      </c>
      <c r="BD28" s="7">
        <v>0.79080109526515641</v>
      </c>
      <c r="BE28" s="7">
        <v>1.1142226702260749</v>
      </c>
      <c r="BF28" s="7">
        <v>1.0238780688553393</v>
      </c>
      <c r="BG28" s="7">
        <v>1.0453677237821604</v>
      </c>
      <c r="BH28" s="7">
        <v>1.0346434336034918</v>
      </c>
      <c r="BI28" s="7">
        <v>1.0015068713976105</v>
      </c>
      <c r="BJ28" s="7">
        <v>0.99685454058292478</v>
      </c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</row>
    <row r="29" spans="1:206" ht="14.25" customHeight="1">
      <c r="A29" s="6" t="s">
        <v>49</v>
      </c>
      <c r="B29" s="2">
        <v>2.6599999999999966</v>
      </c>
      <c r="C29" s="2">
        <v>4.1600000000000108</v>
      </c>
      <c r="D29" s="2">
        <v>1.4699999999999989</v>
      </c>
      <c r="E29" s="2">
        <v>2.2099999999999937</v>
      </c>
      <c r="F29" s="2">
        <v>1.6999999999999886</v>
      </c>
      <c r="G29" s="2">
        <v>4.3499999999999943</v>
      </c>
      <c r="H29" s="2">
        <v>5.8899999999999864</v>
      </c>
      <c r="I29" s="2">
        <v>2.7199999999999847</v>
      </c>
      <c r="J29" s="2">
        <v>5.2999999999999829</v>
      </c>
      <c r="K29" s="2">
        <v>2.9999999999999858</v>
      </c>
      <c r="L29" s="2">
        <v>6.0600000000000023</v>
      </c>
      <c r="M29" s="2">
        <v>6.7399999999999949</v>
      </c>
      <c r="N29" s="2">
        <v>4.8599999999999994</v>
      </c>
      <c r="O29" s="2">
        <v>5.039999999999992</v>
      </c>
      <c r="P29" s="2">
        <v>0.76000000000001933</v>
      </c>
      <c r="Q29" s="2">
        <v>3.7299999999999898</v>
      </c>
      <c r="R29" s="2">
        <v>5.8799999999999812</v>
      </c>
      <c r="S29" s="2">
        <v>4.25</v>
      </c>
      <c r="T29" s="2">
        <v>3.1400000000000148</v>
      </c>
      <c r="U29" s="2">
        <v>1.039999999999992</v>
      </c>
      <c r="V29" s="7">
        <v>4.2483824577841744</v>
      </c>
      <c r="W29" s="7">
        <v>6.9591596107063083</v>
      </c>
      <c r="X29" s="7">
        <v>5.4538866261215873</v>
      </c>
      <c r="Y29" s="7">
        <v>6.540320058944161</v>
      </c>
      <c r="Z29" s="7">
        <v>7.3128914734867294</v>
      </c>
      <c r="AA29" s="7">
        <v>7.1820433977861313</v>
      </c>
      <c r="AB29" s="7">
        <v>6.5927050670877918</v>
      </c>
      <c r="AC29" s="7">
        <v>5.818840152524726</v>
      </c>
      <c r="AD29" s="7">
        <v>4.4081647395036523</v>
      </c>
      <c r="AE29" s="7">
        <v>5.2131687073433994</v>
      </c>
      <c r="AF29" s="7">
        <v>6.4722031229875636</v>
      </c>
      <c r="AG29" s="7">
        <v>5.2133273003193894</v>
      </c>
      <c r="AH29" s="7">
        <v>5.8714831046391156</v>
      </c>
      <c r="AI29" s="7">
        <v>4.3200772831565519</v>
      </c>
      <c r="AJ29" s="7">
        <v>4.2417036243750035</v>
      </c>
      <c r="AK29" s="7">
        <v>4.765829043993338</v>
      </c>
      <c r="AL29" s="7">
        <v>4.9089644575014839</v>
      </c>
      <c r="AM29" s="7">
        <v>5.1928740405098424</v>
      </c>
      <c r="AN29" s="7">
        <v>5.0326029251360405</v>
      </c>
      <c r="AO29" s="7">
        <v>5.8862345172484138</v>
      </c>
      <c r="AP29" s="7">
        <v>0.64595148490835175</v>
      </c>
      <c r="AQ29" s="7">
        <v>5.3276126306401288</v>
      </c>
      <c r="AR29" s="7">
        <v>5.5725747234044993</v>
      </c>
      <c r="AS29" s="7">
        <v>6.942503141070147</v>
      </c>
      <c r="AT29" s="7">
        <v>5.8587254323365041</v>
      </c>
      <c r="AU29" s="7">
        <v>5.672015614786889</v>
      </c>
      <c r="AV29" s="7">
        <v>4.7545633931851281</v>
      </c>
      <c r="AW29" s="7">
        <v>5.0157440485455664</v>
      </c>
      <c r="AX29" s="7">
        <v>5.1956458757459929</v>
      </c>
      <c r="AY29" s="7">
        <v>7.6542534075511206</v>
      </c>
      <c r="AZ29" s="7">
        <v>11.496969009537015</v>
      </c>
      <c r="BA29" s="7">
        <v>6.4129370162453334</v>
      </c>
      <c r="BB29" s="7">
        <v>10.836035453795159</v>
      </c>
      <c r="BC29" s="7">
        <v>6.6012788663696753</v>
      </c>
      <c r="BD29" s="7">
        <v>7.2440138746058214</v>
      </c>
      <c r="BE29" s="7">
        <v>0.37738606374342493</v>
      </c>
      <c r="BF29" s="7">
        <v>0.64150630837951839</v>
      </c>
      <c r="BG29" s="7">
        <v>9.8922142515001976</v>
      </c>
      <c r="BH29" s="7">
        <v>10.713627620523363</v>
      </c>
      <c r="BI29" s="7">
        <v>7.6581504510688454</v>
      </c>
      <c r="BJ29" s="7">
        <v>6.9794117121146737</v>
      </c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</row>
    <row r="30" spans="1:206" ht="14.2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</row>
    <row r="31" spans="1:206" ht="14.2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</row>
    <row r="32" spans="1:206" ht="14.2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</row>
    <row r="33" spans="1:206" ht="14.25" customHeight="1">
      <c r="A33" s="3" t="s">
        <v>50</v>
      </c>
      <c r="B33" s="2"/>
      <c r="C33" s="2"/>
      <c r="D33" s="2"/>
      <c r="E33" s="2"/>
      <c r="F33" s="2"/>
      <c r="G33" s="2"/>
      <c r="H33" s="2"/>
      <c r="I33" s="1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</row>
    <row r="34" spans="1:206" ht="14.25" customHeight="1">
      <c r="A34" s="5" t="s">
        <v>3</v>
      </c>
      <c r="B34" s="10" t="s">
        <v>51</v>
      </c>
      <c r="C34" s="10" t="s">
        <v>52</v>
      </c>
      <c r="D34" s="10" t="s">
        <v>53</v>
      </c>
      <c r="E34" s="10" t="s">
        <v>54</v>
      </c>
      <c r="F34" s="10" t="s">
        <v>51</v>
      </c>
      <c r="G34" s="10" t="s">
        <v>52</v>
      </c>
      <c r="H34" s="10" t="s">
        <v>53</v>
      </c>
      <c r="I34" s="10" t="s">
        <v>55</v>
      </c>
      <c r="J34" s="10" t="s">
        <v>10</v>
      </c>
      <c r="K34" s="10" t="s">
        <v>52</v>
      </c>
      <c r="L34" s="10" t="s">
        <v>53</v>
      </c>
      <c r="M34" s="10" t="s">
        <v>56</v>
      </c>
      <c r="N34" s="10" t="s">
        <v>18</v>
      </c>
      <c r="O34" s="10" t="s">
        <v>11</v>
      </c>
      <c r="P34" s="10" t="s">
        <v>12</v>
      </c>
      <c r="Q34" s="10" t="s">
        <v>16</v>
      </c>
      <c r="R34" s="10" t="s">
        <v>10</v>
      </c>
      <c r="S34" s="10" t="s">
        <v>11</v>
      </c>
      <c r="T34" s="10" t="s">
        <v>12</v>
      </c>
      <c r="U34" s="10" t="s">
        <v>17</v>
      </c>
      <c r="V34" s="10" t="s">
        <v>18</v>
      </c>
      <c r="W34" s="10" t="s">
        <v>19</v>
      </c>
      <c r="X34" s="10" t="s">
        <v>20</v>
      </c>
      <c r="Y34" s="10" t="s">
        <v>21</v>
      </c>
      <c r="Z34" s="10" t="s">
        <v>10</v>
      </c>
      <c r="AA34" s="10" t="s">
        <v>11</v>
      </c>
      <c r="AB34" s="10" t="s">
        <v>20</v>
      </c>
      <c r="AC34" s="10" t="s">
        <v>22</v>
      </c>
      <c r="AD34" s="10" t="s">
        <v>18</v>
      </c>
      <c r="AE34" s="10" t="s">
        <v>19</v>
      </c>
      <c r="AF34" s="10" t="s">
        <v>57</v>
      </c>
      <c r="AG34" s="10" t="s">
        <v>58</v>
      </c>
      <c r="AH34" s="10" t="s">
        <v>18</v>
      </c>
      <c r="AI34" s="10" t="s">
        <v>11</v>
      </c>
      <c r="AJ34" s="10" t="s">
        <v>20</v>
      </c>
      <c r="AK34" s="10" t="s">
        <v>24</v>
      </c>
      <c r="AL34" s="10" t="s">
        <v>10</v>
      </c>
      <c r="AM34" s="10" t="s">
        <v>11</v>
      </c>
      <c r="AN34" s="10" t="s">
        <v>57</v>
      </c>
      <c r="AO34" s="10" t="s">
        <v>59</v>
      </c>
      <c r="AP34" s="10" t="s">
        <v>27</v>
      </c>
      <c r="AQ34" s="10" t="s">
        <v>60</v>
      </c>
      <c r="AR34" s="10" t="s">
        <v>61</v>
      </c>
      <c r="AS34" s="10" t="s">
        <v>62</v>
      </c>
      <c r="AT34" s="10" t="s">
        <v>63</v>
      </c>
      <c r="AU34" s="10" t="s">
        <v>64</v>
      </c>
      <c r="AV34" s="10" t="s">
        <v>65</v>
      </c>
      <c r="AW34" s="10" t="s">
        <v>66</v>
      </c>
      <c r="AX34" s="10" t="s">
        <v>63</v>
      </c>
      <c r="AY34" s="10" t="s">
        <v>28</v>
      </c>
      <c r="AZ34" s="10" t="s">
        <v>65</v>
      </c>
      <c r="BA34" s="10" t="s">
        <v>67</v>
      </c>
      <c r="BB34" s="10" t="s">
        <v>63</v>
      </c>
      <c r="BC34" s="10" t="s">
        <v>11</v>
      </c>
      <c r="BD34" s="10" t="s">
        <v>65</v>
      </c>
      <c r="BE34" s="10" t="s">
        <v>68</v>
      </c>
      <c r="BF34" s="10" t="s">
        <v>63</v>
      </c>
      <c r="BG34" s="10" t="s">
        <v>19</v>
      </c>
      <c r="BH34" s="10" t="s">
        <v>65</v>
      </c>
      <c r="BI34" s="10" t="s">
        <v>32</v>
      </c>
      <c r="BJ34" s="10" t="s">
        <v>63</v>
      </c>
      <c r="BK34" s="10" t="s">
        <v>64</v>
      </c>
      <c r="BL34" s="10" t="s">
        <v>65</v>
      </c>
      <c r="BM34" s="10" t="s">
        <v>69</v>
      </c>
      <c r="BN34" s="10" t="s">
        <v>70</v>
      </c>
      <c r="BO34" s="10" t="s">
        <v>64</v>
      </c>
      <c r="BP34" s="10" t="s">
        <v>71</v>
      </c>
      <c r="BQ34" s="10" t="s">
        <v>72</v>
      </c>
      <c r="BR34" s="10" t="s">
        <v>73</v>
      </c>
      <c r="BS34" s="10" t="s">
        <v>74</v>
      </c>
      <c r="BT34" s="10" t="s">
        <v>75</v>
      </c>
      <c r="BU34" s="10" t="s">
        <v>76</v>
      </c>
      <c r="BV34" s="10" t="s">
        <v>77</v>
      </c>
      <c r="BW34" s="10" t="s">
        <v>78</v>
      </c>
      <c r="BX34" s="10" t="s">
        <v>79</v>
      </c>
      <c r="BY34" s="10" t="s">
        <v>80</v>
      </c>
      <c r="BZ34" s="10" t="s">
        <v>81</v>
      </c>
      <c r="CA34" s="10" t="s">
        <v>82</v>
      </c>
      <c r="CB34" s="10" t="s">
        <v>71</v>
      </c>
      <c r="CC34" s="10" t="s">
        <v>83</v>
      </c>
      <c r="CD34" s="10" t="s">
        <v>84</v>
      </c>
      <c r="CE34" s="10" t="s">
        <v>74</v>
      </c>
      <c r="CF34" s="10" t="s">
        <v>75</v>
      </c>
      <c r="CG34" s="10" t="s">
        <v>76</v>
      </c>
      <c r="CH34" s="10" t="s">
        <v>77</v>
      </c>
      <c r="CI34" s="10" t="s">
        <v>78</v>
      </c>
      <c r="CJ34" s="10" t="s">
        <v>79</v>
      </c>
      <c r="CK34" s="10" t="s">
        <v>80</v>
      </c>
      <c r="CL34" s="10" t="s">
        <v>81</v>
      </c>
      <c r="CM34" s="10" t="s">
        <v>85</v>
      </c>
      <c r="CN34" s="10" t="s">
        <v>71</v>
      </c>
      <c r="CO34" s="10" t="s">
        <v>72</v>
      </c>
      <c r="CP34" s="10" t="s">
        <v>73</v>
      </c>
      <c r="CQ34" s="10" t="s">
        <v>74</v>
      </c>
      <c r="CR34" s="10" t="s">
        <v>75</v>
      </c>
      <c r="CS34" s="10" t="s">
        <v>76</v>
      </c>
      <c r="CT34" s="10" t="s">
        <v>77</v>
      </c>
      <c r="CU34" s="10" t="s">
        <v>78</v>
      </c>
      <c r="CV34" s="10" t="s">
        <v>79</v>
      </c>
      <c r="CW34" s="10" t="s">
        <v>80</v>
      </c>
      <c r="CX34" s="10" t="s">
        <v>86</v>
      </c>
      <c r="CY34" s="10" t="s">
        <v>87</v>
      </c>
      <c r="CZ34" s="10" t="s">
        <v>71</v>
      </c>
      <c r="DA34" s="10" t="s">
        <v>72</v>
      </c>
      <c r="DB34" s="10" t="s">
        <v>73</v>
      </c>
      <c r="DC34" s="10" t="s">
        <v>74</v>
      </c>
      <c r="DD34" s="10" t="s">
        <v>75</v>
      </c>
      <c r="DE34" s="10" t="s">
        <v>76</v>
      </c>
      <c r="DF34" s="10" t="s">
        <v>77</v>
      </c>
      <c r="DG34" s="10" t="s">
        <v>78</v>
      </c>
      <c r="DH34" s="10" t="s">
        <v>79</v>
      </c>
      <c r="DI34" s="10" t="s">
        <v>80</v>
      </c>
      <c r="DJ34" s="10" t="s">
        <v>86</v>
      </c>
      <c r="DK34" s="10" t="s">
        <v>88</v>
      </c>
      <c r="DL34" s="10" t="s">
        <v>71</v>
      </c>
      <c r="DM34" s="10" t="s">
        <v>72</v>
      </c>
      <c r="DN34" s="10" t="s">
        <v>73</v>
      </c>
      <c r="DO34" s="10" t="s">
        <v>74</v>
      </c>
      <c r="DP34" s="10" t="s">
        <v>75</v>
      </c>
      <c r="DQ34" s="10" t="s">
        <v>76</v>
      </c>
      <c r="DR34" s="10" t="s">
        <v>77</v>
      </c>
      <c r="DS34" s="10" t="s">
        <v>78</v>
      </c>
      <c r="DT34" s="10" t="s">
        <v>79</v>
      </c>
      <c r="DU34" s="10" t="s">
        <v>80</v>
      </c>
      <c r="DV34" s="10" t="s">
        <v>86</v>
      </c>
      <c r="DW34" s="10" t="s">
        <v>89</v>
      </c>
      <c r="DX34" s="10" t="s">
        <v>71</v>
      </c>
      <c r="DY34" s="10" t="s">
        <v>83</v>
      </c>
      <c r="DZ34" s="10" t="s">
        <v>73</v>
      </c>
      <c r="EA34" s="10" t="s">
        <v>90</v>
      </c>
      <c r="EB34" s="10" t="s">
        <v>91</v>
      </c>
      <c r="EC34" s="10" t="s">
        <v>92</v>
      </c>
      <c r="ED34" s="10" t="s">
        <v>77</v>
      </c>
      <c r="EE34" s="10" t="s">
        <v>93</v>
      </c>
      <c r="EF34" s="10" t="s">
        <v>94</v>
      </c>
      <c r="EG34" s="10" t="s">
        <v>80</v>
      </c>
      <c r="EH34" s="10" t="s">
        <v>95</v>
      </c>
      <c r="EI34" s="10" t="s">
        <v>96</v>
      </c>
      <c r="EJ34" s="10" t="s">
        <v>71</v>
      </c>
      <c r="EK34" s="10" t="s">
        <v>72</v>
      </c>
      <c r="EL34" s="10" t="s">
        <v>73</v>
      </c>
      <c r="EM34" s="10" t="s">
        <v>90</v>
      </c>
      <c r="EN34" s="10" t="s">
        <v>91</v>
      </c>
      <c r="EO34" s="10" t="s">
        <v>97</v>
      </c>
      <c r="EP34" s="10" t="s">
        <v>98</v>
      </c>
      <c r="EQ34" s="10" t="s">
        <v>93</v>
      </c>
      <c r="ER34" s="10" t="s">
        <v>99</v>
      </c>
      <c r="ES34" s="10" t="s">
        <v>100</v>
      </c>
      <c r="ET34" s="10" t="s">
        <v>95</v>
      </c>
      <c r="EU34" s="10" t="s">
        <v>101</v>
      </c>
      <c r="EV34" s="10" t="s">
        <v>71</v>
      </c>
      <c r="EW34" s="10" t="s">
        <v>83</v>
      </c>
      <c r="EX34" s="10" t="s">
        <v>84</v>
      </c>
      <c r="EY34" s="10" t="s">
        <v>90</v>
      </c>
      <c r="EZ34" s="10" t="s">
        <v>75</v>
      </c>
      <c r="FA34" s="10" t="s">
        <v>97</v>
      </c>
      <c r="FB34" s="10" t="s">
        <v>98</v>
      </c>
      <c r="FC34" s="10" t="s">
        <v>93</v>
      </c>
      <c r="FD34" s="10" t="s">
        <v>102</v>
      </c>
      <c r="FE34" s="10" t="s">
        <v>100</v>
      </c>
      <c r="FF34" s="10" t="s">
        <v>95</v>
      </c>
      <c r="FG34" s="10" t="s">
        <v>103</v>
      </c>
      <c r="FH34" s="10" t="s">
        <v>104</v>
      </c>
      <c r="FI34" s="10" t="s">
        <v>72</v>
      </c>
      <c r="FJ34" s="10" t="s">
        <v>105</v>
      </c>
      <c r="FK34" s="10" t="s">
        <v>90</v>
      </c>
      <c r="FL34" s="10" t="s">
        <v>75</v>
      </c>
      <c r="FM34" s="10" t="s">
        <v>97</v>
      </c>
      <c r="FN34" s="10" t="s">
        <v>106</v>
      </c>
      <c r="FO34" s="10" t="s">
        <v>78</v>
      </c>
      <c r="FP34" s="10" t="s">
        <v>79</v>
      </c>
      <c r="FQ34" s="10" t="s">
        <v>107</v>
      </c>
      <c r="FR34" s="10" t="s">
        <v>95</v>
      </c>
      <c r="FS34" s="10" t="s">
        <v>108</v>
      </c>
      <c r="FT34" s="10" t="s">
        <v>71</v>
      </c>
      <c r="FU34" s="10" t="s">
        <v>72</v>
      </c>
      <c r="FV34" s="10" t="s">
        <v>84</v>
      </c>
      <c r="FW34" s="10" t="s">
        <v>74</v>
      </c>
      <c r="FX34" s="10" t="s">
        <v>75</v>
      </c>
      <c r="FY34" s="10" t="s">
        <v>109</v>
      </c>
      <c r="FZ34" s="10" t="s">
        <v>106</v>
      </c>
      <c r="GA34" s="10" t="s">
        <v>110</v>
      </c>
      <c r="GB34" s="10" t="s">
        <v>111</v>
      </c>
      <c r="GC34" s="10" t="s">
        <v>112</v>
      </c>
      <c r="GD34" s="10" t="s">
        <v>113</v>
      </c>
      <c r="GE34" s="10" t="s">
        <v>114</v>
      </c>
      <c r="GF34" s="10" t="s">
        <v>115</v>
      </c>
      <c r="GG34" s="10" t="s">
        <v>116</v>
      </c>
      <c r="GH34" s="10" t="s">
        <v>117</v>
      </c>
      <c r="GI34" s="10" t="s">
        <v>118</v>
      </c>
      <c r="GJ34" s="10" t="s">
        <v>75</v>
      </c>
      <c r="GK34" s="10" t="s">
        <v>109</v>
      </c>
      <c r="GL34" s="10" t="s">
        <v>106</v>
      </c>
      <c r="GM34" s="10" t="s">
        <v>110</v>
      </c>
      <c r="GN34" s="10" t="s">
        <v>111</v>
      </c>
      <c r="GO34" s="10" t="s">
        <v>119</v>
      </c>
      <c r="GP34" s="10" t="s">
        <v>113</v>
      </c>
      <c r="GQ34" s="10" t="s">
        <v>120</v>
      </c>
      <c r="GR34" s="10" t="s">
        <v>121</v>
      </c>
      <c r="GS34" s="10" t="s">
        <v>116</v>
      </c>
      <c r="GT34" s="10" t="s">
        <v>117</v>
      </c>
      <c r="GU34" s="10" t="s">
        <v>118</v>
      </c>
      <c r="GV34" s="10" t="s">
        <v>122</v>
      </c>
      <c r="GW34" s="10" t="s">
        <v>109</v>
      </c>
      <c r="GX34" s="10" t="s">
        <v>123</v>
      </c>
    </row>
    <row r="35" spans="1:206" ht="14.25" customHeight="1">
      <c r="A35" s="6" t="s">
        <v>4</v>
      </c>
      <c r="B35" s="7">
        <v>121.84</v>
      </c>
      <c r="C35" s="7">
        <v>142.22</v>
      </c>
      <c r="D35" s="7">
        <v>174.74</v>
      </c>
      <c r="E35" s="7">
        <v>146.88999999999999</v>
      </c>
      <c r="F35" s="7">
        <v>120.69</v>
      </c>
      <c r="G35" s="7">
        <v>145</v>
      </c>
      <c r="H35" s="7">
        <v>165</v>
      </c>
      <c r="I35" s="7">
        <v>153.63999999999999</v>
      </c>
      <c r="J35" s="7">
        <v>117.57374796049191</v>
      </c>
      <c r="K35" s="7">
        <v>115.3407479997244</v>
      </c>
      <c r="L35" s="7">
        <v>128.2461221317883</v>
      </c>
      <c r="M35" s="7">
        <v>131.36277098427396</v>
      </c>
      <c r="N35" s="7">
        <v>108.74158839658891</v>
      </c>
      <c r="O35" s="7">
        <v>124.24706892773796</v>
      </c>
      <c r="P35" s="7">
        <v>132.84079040252811</v>
      </c>
      <c r="Q35" s="7">
        <v>150.52605835988447</v>
      </c>
      <c r="R35" s="7">
        <v>125.82419190958638</v>
      </c>
      <c r="S35" s="7">
        <v>148.57652378337372</v>
      </c>
      <c r="T35" s="7">
        <v>145.46080984178008</v>
      </c>
      <c r="U35" s="7">
        <v>153.53089790848611</v>
      </c>
      <c r="V35" s="7">
        <v>134.15701931210398</v>
      </c>
      <c r="W35" s="7">
        <v>156.74945032200463</v>
      </c>
      <c r="X35" s="7">
        <v>157.78909177741167</v>
      </c>
      <c r="Y35" s="7">
        <v>173.58331877058231</v>
      </c>
      <c r="Z35" s="7">
        <v>147.13980335923162</v>
      </c>
      <c r="AA35" s="7">
        <v>169.76069051139484</v>
      </c>
      <c r="AB35" s="7">
        <v>176.86525329534402</v>
      </c>
      <c r="AC35" s="7">
        <v>171.72115954288017</v>
      </c>
      <c r="AD35" s="7">
        <v>144.27074306465457</v>
      </c>
      <c r="AE35" s="7">
        <v>177.55474963029479</v>
      </c>
      <c r="AF35" s="7">
        <v>182.70330627857354</v>
      </c>
      <c r="AG35" s="7">
        <v>186.42825698532951</v>
      </c>
      <c r="AH35" s="7">
        <v>163.38884052218376</v>
      </c>
      <c r="AI35" s="7">
        <v>196.5374577780259</v>
      </c>
      <c r="AJ35" s="7">
        <v>194.07160714004576</v>
      </c>
      <c r="AK35" s="7">
        <v>205.19063731014492</v>
      </c>
      <c r="AL35" s="7">
        <v>170.44976442822752</v>
      </c>
      <c r="AM35" s="7">
        <v>214.17937380233627</v>
      </c>
      <c r="AN35" s="7">
        <v>203.39830946400531</v>
      </c>
      <c r="AO35" s="7">
        <v>212.54020257092071</v>
      </c>
      <c r="AP35" s="7">
        <v>184.65882421832012</v>
      </c>
      <c r="AQ35" s="7">
        <v>220.70892046706086</v>
      </c>
      <c r="AR35" s="7">
        <v>222.02031323743824</v>
      </c>
      <c r="AS35" s="7">
        <v>224.14418850871766</v>
      </c>
      <c r="AT35" s="7">
        <v>187.33210343398511</v>
      </c>
      <c r="AU35" s="7">
        <v>247.19533049699498</v>
      </c>
      <c r="AV35" s="7">
        <v>262.25525502250832</v>
      </c>
      <c r="AW35" s="7">
        <v>283.19641397911948</v>
      </c>
      <c r="AX35" s="7">
        <v>242.92612101808393</v>
      </c>
      <c r="AY35" s="7">
        <v>311.54968310806237</v>
      </c>
      <c r="AZ35" s="7">
        <v>307.30202737158203</v>
      </c>
      <c r="BA35" s="7">
        <v>291.58555157687101</v>
      </c>
      <c r="BB35" s="7">
        <v>241.28127136762672</v>
      </c>
      <c r="BC35" s="7">
        <v>314.1077417408419</v>
      </c>
      <c r="BD35" s="7">
        <v>349.12433591845877</v>
      </c>
      <c r="BE35" s="7">
        <v>318.29354764995497</v>
      </c>
      <c r="BF35" s="7">
        <v>271.2587780609494</v>
      </c>
      <c r="BG35" s="7">
        <v>356.19881664984734</v>
      </c>
      <c r="BH35" s="7">
        <v>374.17676926530305</v>
      </c>
      <c r="BI35" s="7">
        <v>334.12737079325211</v>
      </c>
      <c r="BJ35" s="7">
        <v>281.02289813320658</v>
      </c>
      <c r="BK35" s="7">
        <v>349.04430250982841</v>
      </c>
      <c r="BL35" s="7">
        <v>380.74204671380755</v>
      </c>
      <c r="BM35" s="7">
        <f t="shared" ref="BM35:BM38" si="0">SUM(GO35:GQ35)</f>
        <v>344.20172683972203</v>
      </c>
      <c r="BN35" s="7">
        <f t="shared" ref="BN35:BN38" si="1">SUM(GR35:GT35)</f>
        <v>291.27139782655945</v>
      </c>
      <c r="BO35" s="7">
        <f t="shared" ref="BO35:BO38" si="2">SUM(GU35:GW35)</f>
        <v>363.42409526479992</v>
      </c>
      <c r="BP35" s="7">
        <v>41.572256871211749</v>
      </c>
      <c r="BQ35" s="7">
        <v>42.859515490842952</v>
      </c>
      <c r="BR35" s="7">
        <v>49.725246950049282</v>
      </c>
      <c r="BS35" s="7">
        <v>49.080859702048073</v>
      </c>
      <c r="BT35" s="7">
        <v>53.940862556013471</v>
      </c>
      <c r="BU35" s="7">
        <v>53.727728063943104</v>
      </c>
      <c r="BV35" s="7">
        <v>51.495124101416167</v>
      </c>
      <c r="BW35" s="7">
        <v>49.517025848290835</v>
      </c>
      <c r="BX35" s="7">
        <v>56.776941827704675</v>
      </c>
      <c r="BY35" s="7">
        <v>64.827307678943413</v>
      </c>
      <c r="BZ35" s="7">
        <v>50.258272307594154</v>
      </c>
      <c r="CA35" s="7">
        <v>58.497738784044756</v>
      </c>
      <c r="CB35" s="7">
        <v>47.150059044707469</v>
      </c>
      <c r="CC35" s="7">
        <v>47.037496207274629</v>
      </c>
      <c r="CD35" s="7">
        <v>52.952248107249517</v>
      </c>
      <c r="CE35" s="7">
        <v>52.827340055600516</v>
      </c>
      <c r="CF35" s="7">
        <v>58.303227121074222</v>
      </c>
      <c r="CG35" s="7">
        <v>58.630123334720082</v>
      </c>
      <c r="CH35" s="7">
        <v>59.536020194085964</v>
      </c>
      <c r="CI35" s="7">
        <v>55.574462254261888</v>
      </c>
      <c r="CJ35" s="7">
        <v>61.754770846996152</v>
      </c>
      <c r="CK35" s="7">
        <v>58.043196705360607</v>
      </c>
      <c r="CL35" s="7">
        <v>54.26163939426575</v>
      </c>
      <c r="CM35" s="7">
        <v>59.416323443253823</v>
      </c>
      <c r="CN35" s="7">
        <v>42.621325906893375</v>
      </c>
      <c r="CO35" s="7">
        <v>47.98945502885897</v>
      </c>
      <c r="CP35" s="7">
        <v>53.659962128902229</v>
      </c>
      <c r="CQ35" s="7">
        <v>58.056011581084334</v>
      </c>
      <c r="CR35" s="7">
        <v>57.331416632838241</v>
      </c>
      <c r="CS35" s="7">
        <v>62.167321416372232</v>
      </c>
      <c r="CT35" s="7">
        <v>58.321284608975773</v>
      </c>
      <c r="CU35" s="7">
        <v>60.398298656849207</v>
      </c>
      <c r="CV35" s="7">
        <v>63.983723012748563</v>
      </c>
      <c r="CW35" s="7">
        <v>62.065888020459852</v>
      </c>
      <c r="CX35" s="7">
        <v>59.364296030791166</v>
      </c>
      <c r="CY35" s="7">
        <v>64.998072934078493</v>
      </c>
      <c r="CZ35" s="7">
        <v>48.0487564584582</v>
      </c>
      <c r="DA35" s="7">
        <v>50.682254268880456</v>
      </c>
      <c r="DB35" s="7">
        <v>64.6578297948451</v>
      </c>
      <c r="DC35" s="7">
        <v>57.91635528458788</v>
      </c>
      <c r="DD35" s="7">
        <v>67.551255438312594</v>
      </c>
      <c r="DE35" s="7">
        <v>71.069847055125422</v>
      </c>
      <c r="DF35" s="7">
        <v>59.951176043568246</v>
      </c>
      <c r="DG35" s="7">
        <v>71.045306238047317</v>
      </c>
      <c r="DH35" s="7">
        <v>63.0751248584302</v>
      </c>
      <c r="DI35" s="7">
        <v>69.674509442883277</v>
      </c>
      <c r="DJ35" s="7">
        <v>66.131867114239242</v>
      </c>
      <c r="DK35" s="7">
        <v>69.384260753022403</v>
      </c>
      <c r="DL35" s="7">
        <v>55.298586360930784</v>
      </c>
      <c r="DM35" s="7">
        <v>52.968310586818923</v>
      </c>
      <c r="DN35" s="7">
        <v>62.18286748047781</v>
      </c>
      <c r="DO35" s="7">
        <v>64.330643774768788</v>
      </c>
      <c r="DP35" s="7">
        <v>73.669286453061375</v>
      </c>
      <c r="DQ35" s="7">
        <v>76.179443574506109</v>
      </c>
      <c r="DR35" s="7">
        <v>64.776908743213085</v>
      </c>
      <c r="DS35" s="7">
        <v>71.055838966081495</v>
      </c>
      <c r="DT35" s="7">
        <v>67.565561754710714</v>
      </c>
      <c r="DU35" s="7">
        <v>74.701341972411242</v>
      </c>
      <c r="DV35" s="7">
        <v>68.775025213664065</v>
      </c>
      <c r="DW35" s="7">
        <v>69.063835384845376</v>
      </c>
      <c r="DX35" s="7">
        <v>56.365300923830198</v>
      </c>
      <c r="DY35" s="7">
        <v>56.626461973113258</v>
      </c>
      <c r="DZ35" s="7">
        <v>71.667061321376707</v>
      </c>
      <c r="EA35" s="7">
        <v>68.819500456201609</v>
      </c>
      <c r="EB35" s="7">
        <v>78.385367332444531</v>
      </c>
      <c r="EC35" s="7">
        <v>73.504052678414723</v>
      </c>
      <c r="ED35" s="7">
        <v>73.918955890682653</v>
      </c>
      <c r="EE35" s="7">
        <v>73.80305462818599</v>
      </c>
      <c r="EF35" s="7">
        <v>74.298302718569616</v>
      </c>
      <c r="EG35" s="7">
        <v>78.191692300307977</v>
      </c>
      <c r="EH35" s="7">
        <v>73.540943341378551</v>
      </c>
      <c r="EI35" s="7">
        <v>72.411552867031133</v>
      </c>
      <c r="EJ35" s="7">
        <v>62.2857750491319</v>
      </c>
      <c r="EK35" s="7">
        <v>63.333838845329993</v>
      </c>
      <c r="EL35" s="7">
        <f>EL36+EL37+EL38</f>
        <v>61.712489539523219</v>
      </c>
      <c r="EM35" s="7">
        <v>60.277594220058141</v>
      </c>
      <c r="EN35" s="7">
        <v>103.98317472763821</v>
      </c>
      <c r="EO35" s="7">
        <v>82.934561549298621</v>
      </c>
      <c r="EP35" s="7">
        <v>92.336823303877068</v>
      </c>
      <c r="EQ35" s="7">
        <v>81.606774078580145</v>
      </c>
      <c r="ER35" s="7">
        <v>88.311657640051152</v>
      </c>
      <c r="ES35" s="7">
        <v>99.564663096898443</v>
      </c>
      <c r="ET35" s="7">
        <v>88.296646707855118</v>
      </c>
      <c r="EU35" s="7">
        <v>95.335104174365952</v>
      </c>
      <c r="EV35" s="7">
        <v>69.297294629381753</v>
      </c>
      <c r="EW35" s="7">
        <v>76.804074670069213</v>
      </c>
      <c r="EX35" s="7">
        <v>96.824751718632967</v>
      </c>
      <c r="EY35" s="7">
        <v>90.525372408880827</v>
      </c>
      <c r="EZ35" s="7">
        <v>113.29703864226728</v>
      </c>
      <c r="FA35" s="7">
        <v>107.7272720569143</v>
      </c>
      <c r="FB35" s="7">
        <v>102.48339799075623</v>
      </c>
      <c r="FC35" s="7">
        <v>110.1534468219032</v>
      </c>
      <c r="FD35" s="7">
        <v>94.665182558922751</v>
      </c>
      <c r="FE35" s="7">
        <v>94.755281747559849</v>
      </c>
      <c r="FF35" s="7">
        <v>89.505332912181558</v>
      </c>
      <c r="FG35" s="7">
        <v>107.32493691712988</v>
      </c>
      <c r="FH35" s="7">
        <v>70.49320443798095</v>
      </c>
      <c r="FI35" s="7">
        <v>76.236416120767089</v>
      </c>
      <c r="FJ35" s="7">
        <v>94.551650808878691</v>
      </c>
      <c r="FK35" s="7">
        <v>108.11689161860494</v>
      </c>
      <c r="FL35" s="7">
        <v>101.05975808493687</v>
      </c>
      <c r="FM35" s="7">
        <v>104.93109203730008</v>
      </c>
      <c r="FN35" s="7">
        <v>114.8915696939965</v>
      </c>
      <c r="FO35" s="7">
        <v>131.61510007092838</v>
      </c>
      <c r="FP35" s="7">
        <v>102.61766615353386</v>
      </c>
      <c r="FQ35" s="7">
        <v>105.09487171177582</v>
      </c>
      <c r="FR35" s="7">
        <v>94.963079526700724</v>
      </c>
      <c r="FS35" s="7">
        <v>118.23559641147813</v>
      </c>
      <c r="FT35" s="7">
        <v>84.0000290825989</v>
      </c>
      <c r="FU35" s="7">
        <v>82.108031056473493</v>
      </c>
      <c r="FV35" s="7">
        <v>105.150717921877</v>
      </c>
      <c r="FW35" s="7">
        <v>113.25708002424301</v>
      </c>
      <c r="FX35" s="7">
        <f>SUM(FX36:FX38)</f>
        <v>118.892163608819</v>
      </c>
      <c r="FY35" s="7">
        <v>124.0495730167853</v>
      </c>
      <c r="FZ35" s="7">
        <v>118.82148648499665</v>
      </c>
      <c r="GA35" s="7">
        <v>141.74703095826277</v>
      </c>
      <c r="GB35" s="7">
        <v>113.60825182204357</v>
      </c>
      <c r="GC35" s="7">
        <v>107.19008806944444</v>
      </c>
      <c r="GD35" s="7">
        <v>99.034972280994992</v>
      </c>
      <c r="GE35" s="7">
        <v>127.902310442813</v>
      </c>
      <c r="GF35" s="7">
        <v>86.363458075951343</v>
      </c>
      <c r="GG35" s="7">
        <v>85.584070994052681</v>
      </c>
      <c r="GH35" s="7">
        <v>109.07536906320256</v>
      </c>
      <c r="GI35" s="7">
        <v>113.21953847443049</v>
      </c>
      <c r="GJ35" s="7">
        <v>118.72137254873823</v>
      </c>
      <c r="GK35" s="7">
        <v>117.10339148665967</v>
      </c>
      <c r="GL35" s="7">
        <v>123.72286367939249</v>
      </c>
      <c r="GM35" s="7">
        <v>141.94857442824255</v>
      </c>
      <c r="GN35" s="7">
        <v>115.07060860617256</v>
      </c>
      <c r="GO35" s="7">
        <v>111.97582322303003</v>
      </c>
      <c r="GP35" s="7">
        <v>101.9335672180504</v>
      </c>
      <c r="GQ35" s="7">
        <v>130.29233639864157</v>
      </c>
      <c r="GR35" s="7">
        <v>86.135294414805458</v>
      </c>
      <c r="GS35" s="7">
        <v>87.964173439578957</v>
      </c>
      <c r="GT35" s="7">
        <v>117.17192997217504</v>
      </c>
      <c r="GU35" s="7">
        <v>112.23578726977448</v>
      </c>
      <c r="GV35" s="7">
        <v>127.46871441407984</v>
      </c>
      <c r="GW35" s="7">
        <v>123.71959358094563</v>
      </c>
      <c r="GX35" s="7">
        <v>126.33219140253934</v>
      </c>
    </row>
    <row r="36" spans="1:206" ht="14.25" customHeight="1">
      <c r="A36" s="6" t="s">
        <v>5</v>
      </c>
      <c r="B36" s="7">
        <v>32.369999999999997</v>
      </c>
      <c r="C36" s="7">
        <v>30.88</v>
      </c>
      <c r="D36" s="7">
        <v>58.05</v>
      </c>
      <c r="E36" s="7">
        <v>27.47</v>
      </c>
      <c r="F36" s="7">
        <v>34.06</v>
      </c>
      <c r="G36" s="7">
        <v>33.35</v>
      </c>
      <c r="H36" s="7">
        <v>43.82</v>
      </c>
      <c r="I36" s="7">
        <v>30.11</v>
      </c>
      <c r="J36" s="7">
        <v>24.852257627864741</v>
      </c>
      <c r="K36" s="7">
        <v>23.572150510028319</v>
      </c>
      <c r="L36" s="7">
        <v>26.11361870649764</v>
      </c>
      <c r="M36" s="7">
        <v>19.32527741344003</v>
      </c>
      <c r="N36" s="7">
        <v>15.420352443947008</v>
      </c>
      <c r="O36" s="7">
        <v>20.447434482281857</v>
      </c>
      <c r="P36" s="7">
        <v>27.461523838347016</v>
      </c>
      <c r="Q36" s="7">
        <v>29.31397670910998</v>
      </c>
      <c r="R36" s="7">
        <v>25.648185964279936</v>
      </c>
      <c r="S36" s="7">
        <v>31.988478055640972</v>
      </c>
      <c r="T36" s="7">
        <v>31.938905651302164</v>
      </c>
      <c r="U36" s="7">
        <v>25.853576767992166</v>
      </c>
      <c r="V36" s="7">
        <v>21.979924924117594</v>
      </c>
      <c r="W36" s="7">
        <v>31.563313134538163</v>
      </c>
      <c r="X36" s="7">
        <v>34.850360898343624</v>
      </c>
      <c r="Y36" s="7">
        <v>26.856042888057743</v>
      </c>
      <c r="Z36" s="7">
        <v>26.657835072634697</v>
      </c>
      <c r="AA36" s="7">
        <v>31.18855035337749</v>
      </c>
      <c r="AB36" s="7">
        <v>37.38894188284695</v>
      </c>
      <c r="AC36" s="7">
        <v>25.854901706836841</v>
      </c>
      <c r="AD36" s="7">
        <v>23.105086264703168</v>
      </c>
      <c r="AE36" s="7">
        <v>28.763720428300253</v>
      </c>
      <c r="AF36" s="7">
        <v>36.06730890888619</v>
      </c>
      <c r="AG36" s="7">
        <v>28.356672216970342</v>
      </c>
      <c r="AH36" s="7">
        <v>23.209507559555959</v>
      </c>
      <c r="AI36" s="7">
        <v>28.189891450067535</v>
      </c>
      <c r="AJ36" s="7">
        <v>37.685326204825103</v>
      </c>
      <c r="AK36" s="7">
        <v>31.347397185551607</v>
      </c>
      <c r="AL36" s="7">
        <v>24.460029625757329</v>
      </c>
      <c r="AM36" s="7">
        <v>31.35790792434711</v>
      </c>
      <c r="AN36" s="7">
        <v>39.124038487146223</v>
      </c>
      <c r="AO36" s="7">
        <v>28.141457298393298</v>
      </c>
      <c r="AP36" s="7">
        <v>23.670675362091909</v>
      </c>
      <c r="AQ36" s="7">
        <v>26.88490528578339</v>
      </c>
      <c r="AR36" s="7">
        <v>42.197887873876439</v>
      </c>
      <c r="AS36" s="7">
        <v>30.192561724233176</v>
      </c>
      <c r="AT36" s="7">
        <v>23.341913807113723</v>
      </c>
      <c r="AU36" s="7">
        <v>36.795931009457505</v>
      </c>
      <c r="AV36" s="7">
        <v>42.207856200758599</v>
      </c>
      <c r="AW36" s="7">
        <v>38.97218571979424</v>
      </c>
      <c r="AX36" s="7">
        <v>33.438985177447996</v>
      </c>
      <c r="AY36" s="7">
        <v>43.641456849099818</v>
      </c>
      <c r="AZ36" s="7">
        <v>55.325622893797231</v>
      </c>
      <c r="BA36" s="7">
        <v>46.414777135525085</v>
      </c>
      <c r="BB36" s="7">
        <v>41.938855299617401</v>
      </c>
      <c r="BC36" s="7">
        <v>47.2177484692711</v>
      </c>
      <c r="BD36" s="7">
        <v>67.274838152273404</v>
      </c>
      <c r="BE36" s="7">
        <v>50.624914194618199</v>
      </c>
      <c r="BF36" s="7">
        <v>48.034295036241176</v>
      </c>
      <c r="BG36" s="7">
        <v>53.888765848890891</v>
      </c>
      <c r="BH36" s="7">
        <v>68.709097354348302</v>
      </c>
      <c r="BI36" s="7">
        <v>45.494157496105089</v>
      </c>
      <c r="BJ36" s="7">
        <v>42.457895076987761</v>
      </c>
      <c r="BK36" s="7">
        <v>48.991541129066931</v>
      </c>
      <c r="BL36" s="7">
        <v>76.532175014788194</v>
      </c>
      <c r="BM36" s="7">
        <f t="shared" si="0"/>
        <v>54.543103223343763</v>
      </c>
      <c r="BN36" s="7">
        <f t="shared" si="1"/>
        <v>46.682655554519144</v>
      </c>
      <c r="BO36" s="7">
        <f t="shared" si="2"/>
        <v>55.990194384888909</v>
      </c>
      <c r="BP36" s="7">
        <v>7.5957735232530723</v>
      </c>
      <c r="BQ36" s="7">
        <v>6.5898378788164127</v>
      </c>
      <c r="BR36" s="7">
        <v>7.7943135220481077</v>
      </c>
      <c r="BS36" s="7">
        <v>9.6514159167675171</v>
      </c>
      <c r="BT36" s="7">
        <v>10.071836703665529</v>
      </c>
      <c r="BU36" s="7">
        <v>11.840060514105117</v>
      </c>
      <c r="BV36" s="7">
        <v>12.570368209072223</v>
      </c>
      <c r="BW36" s="7">
        <v>11.948142672685613</v>
      </c>
      <c r="BX36" s="7">
        <v>10.331850016585788</v>
      </c>
      <c r="BY36" s="7">
        <v>8.65246275381595</v>
      </c>
      <c r="BZ36" s="7">
        <v>7.1824046972553361</v>
      </c>
      <c r="CA36" s="7">
        <v>11.021175436986457</v>
      </c>
      <c r="CB36" s="7">
        <v>9.3842745530602976</v>
      </c>
      <c r="CC36" s="7">
        <v>7.3249911514403081</v>
      </c>
      <c r="CD36" s="7">
        <v>9.948569368134093</v>
      </c>
      <c r="CE36" s="7">
        <v>9.3837334094179905</v>
      </c>
      <c r="CF36" s="7">
        <v>11.065996743959468</v>
      </c>
      <c r="CG36" s="7">
        <v>10.738820200000031</v>
      </c>
      <c r="CH36" s="7">
        <v>14.505028633983397</v>
      </c>
      <c r="CI36" s="7">
        <v>13.445706325830283</v>
      </c>
      <c r="CJ36" s="7">
        <v>9.4382069230332721</v>
      </c>
      <c r="CK36" s="7">
        <v>8.593562397602426</v>
      </c>
      <c r="CL36" s="7">
        <v>7.8555194387919309</v>
      </c>
      <c r="CM36" s="7">
        <v>9.4058198704424836</v>
      </c>
      <c r="CN36" s="7">
        <v>7.4889909528656711</v>
      </c>
      <c r="CO36" s="7">
        <v>7.0574126588131163</v>
      </c>
      <c r="CP36" s="7">
        <v>8.5586826530243822</v>
      </c>
      <c r="CQ36" s="7">
        <v>9.3304368699772553</v>
      </c>
      <c r="CR36" s="7">
        <v>9.1281648148203054</v>
      </c>
      <c r="CS36" s="7">
        <v>10.305118743502694</v>
      </c>
      <c r="CT36" s="7">
        <v>12.770784286948841</v>
      </c>
      <c r="CU36" s="7">
        <v>13.762903942990564</v>
      </c>
      <c r="CV36" s="7">
        <v>9.5336206789467841</v>
      </c>
      <c r="CW36" s="7">
        <v>8.8156562277422523</v>
      </c>
      <c r="CX36" s="7">
        <v>8.6581859726984405</v>
      </c>
      <c r="CY36" s="7">
        <v>10.882830016529649</v>
      </c>
      <c r="CZ36" s="7">
        <v>7.5900754180983414</v>
      </c>
      <c r="DA36" s="7">
        <v>6.3671980429084503</v>
      </c>
      <c r="DB36" s="7">
        <v>9.2522340985491667</v>
      </c>
      <c r="DC36" s="7">
        <v>8.5172331543545123</v>
      </c>
      <c r="DD36" s="7">
        <v>9.5720575950462976</v>
      </c>
      <c r="DE36" s="7">
        <v>10.100600700666723</v>
      </c>
      <c r="DF36" s="7">
        <v>13.603083945132804</v>
      </c>
      <c r="DG36" s="7">
        <v>14.986761569366914</v>
      </c>
      <c r="DH36" s="7">
        <v>9.0954806903253829</v>
      </c>
      <c r="DI36" s="7">
        <v>9.8127336093898432</v>
      </c>
      <c r="DJ36" s="7">
        <v>9.219403799591344</v>
      </c>
      <c r="DK36" s="7">
        <v>12.31525977657042</v>
      </c>
      <c r="DL36" s="7">
        <v>9.1370572773282959</v>
      </c>
      <c r="DM36" s="7">
        <v>6.303471293226357</v>
      </c>
      <c r="DN36" s="7">
        <v>9.019501055202678</v>
      </c>
      <c r="DO36" s="7">
        <v>9.7932761049290722</v>
      </c>
      <c r="DP36" s="7">
        <v>11.166972349146292</v>
      </c>
      <c r="DQ36" s="7">
        <v>10.39765947027175</v>
      </c>
      <c r="DR36" s="7">
        <v>14.139714545416515</v>
      </c>
      <c r="DS36" s="7">
        <v>16.161380830409104</v>
      </c>
      <c r="DT36" s="7">
        <v>8.8229431113206065</v>
      </c>
      <c r="DU36" s="7">
        <v>8.9809316322010435</v>
      </c>
      <c r="DV36" s="7">
        <v>8.8487247030000518</v>
      </c>
      <c r="DW36" s="7">
        <v>10.311800963192203</v>
      </c>
      <c r="DX36" s="7">
        <v>8.9920474122386533</v>
      </c>
      <c r="DY36" s="7">
        <v>5.6006243138732499</v>
      </c>
      <c r="DZ36" s="7">
        <v>9.0780036359800071</v>
      </c>
      <c r="EA36" s="7">
        <v>9.4</v>
      </c>
      <c r="EB36" s="7">
        <v>7.5686199394474682</v>
      </c>
      <c r="EC36" s="7">
        <v>9.916285346335922</v>
      </c>
      <c r="ED36" s="7">
        <v>15.691849376812913</v>
      </c>
      <c r="EE36" s="7">
        <v>15.584858525322698</v>
      </c>
      <c r="EF36" s="7">
        <v>10.921179971740827</v>
      </c>
      <c r="EG36" s="7">
        <v>10.37906454172702</v>
      </c>
      <c r="EH36" s="7">
        <v>8.9264304548587656</v>
      </c>
      <c r="EI36" s="7">
        <v>10.88706672764739</v>
      </c>
      <c r="EJ36" s="7">
        <v>10.111068692150466</v>
      </c>
      <c r="EK36" s="7">
        <v>5.9383555754400383</v>
      </c>
      <c r="EL36" s="7">
        <v>7.2924895395232197</v>
      </c>
      <c r="EM36" s="7">
        <v>8.7993371200581318</v>
      </c>
      <c r="EN36" s="7">
        <v>15.418751897638316</v>
      </c>
      <c r="EO36" s="7">
        <v>12.577841991761055</v>
      </c>
      <c r="EP36" s="7">
        <v>14.960503655106834</v>
      </c>
      <c r="EQ36" s="7">
        <v>13.548443878486292</v>
      </c>
      <c r="ER36" s="7">
        <v>13.698908667165473</v>
      </c>
      <c r="ES36" s="7">
        <v>11.921775851240945</v>
      </c>
      <c r="ET36" s="7">
        <v>12.06185849941776</v>
      </c>
      <c r="EU36" s="7">
        <v>14.988551369135532</v>
      </c>
      <c r="EV36" s="7">
        <v>10.3495191718903</v>
      </c>
      <c r="EW36" s="7">
        <v>9.6255948083645197</v>
      </c>
      <c r="EX36" s="7">
        <v>13.4638711971931</v>
      </c>
      <c r="EY36" s="7">
        <v>13.541039981894301</v>
      </c>
      <c r="EZ36" s="7">
        <v>14.065263998031</v>
      </c>
      <c r="FA36" s="7">
        <v>16.035152869174524</v>
      </c>
      <c r="FB36" s="7">
        <v>20.117955804136702</v>
      </c>
      <c r="FC36" s="7">
        <v>20.127602338377869</v>
      </c>
      <c r="FD36" s="7">
        <v>15.080064751282661</v>
      </c>
      <c r="FE36" s="7">
        <v>14.504809736153472</v>
      </c>
      <c r="FF36" s="7">
        <v>15.183293715012331</v>
      </c>
      <c r="FG36" s="7">
        <v>16.72667368435928</v>
      </c>
      <c r="FH36" s="7">
        <v>14.879404921788099</v>
      </c>
      <c r="FI36" s="7">
        <v>12</v>
      </c>
      <c r="FJ36" s="7">
        <v>15.0594503778293</v>
      </c>
      <c r="FK36" s="7">
        <v>14.603625648215701</v>
      </c>
      <c r="FL36" s="7">
        <v>15.2508639010554</v>
      </c>
      <c r="FM36" s="7">
        <v>17.363258920000003</v>
      </c>
      <c r="FN36" s="7">
        <v>23.622776541092001</v>
      </c>
      <c r="FO36" s="7">
        <v>26.583094983234002</v>
      </c>
      <c r="FP36" s="7">
        <v>17.0689666279474</v>
      </c>
      <c r="FQ36" s="7">
        <v>16.079142135632786</v>
      </c>
      <c r="FR36" s="7">
        <v>15.717505020955294</v>
      </c>
      <c r="FS36" s="7">
        <v>18.828267038030088</v>
      </c>
      <c r="FT36" s="7">
        <v>17.6816076885897</v>
      </c>
      <c r="FU36" s="7">
        <v>13.264269909814599</v>
      </c>
      <c r="FV36" s="7">
        <v>17.088417437836871</v>
      </c>
      <c r="FW36" s="7">
        <v>16.961961844740163</v>
      </c>
      <c r="FX36" s="7">
        <v>17.829047780650768</v>
      </c>
      <c r="FY36" s="7">
        <v>19.097756223499964</v>
      </c>
      <c r="FZ36" s="7">
        <v>23.69392858148111</v>
      </c>
      <c r="GA36" s="7">
        <v>26.451898583894291</v>
      </c>
      <c r="GB36" s="7">
        <v>18.563270188972897</v>
      </c>
      <c r="GC36" s="7">
        <v>14.870398378510899</v>
      </c>
      <c r="GD36" s="7">
        <v>14.161747824765012</v>
      </c>
      <c r="GE36" s="7">
        <v>16.462011292829178</v>
      </c>
      <c r="GF36" s="7">
        <v>16.052966550409831</v>
      </c>
      <c r="GG36" s="7">
        <v>11.92329523061243</v>
      </c>
      <c r="GH36" s="7">
        <v>14.4816332959655</v>
      </c>
      <c r="GI36" s="7">
        <v>16.036267672616138</v>
      </c>
      <c r="GJ36" s="7">
        <v>16.532597789609653</v>
      </c>
      <c r="GK36" s="7">
        <v>16.42267566684114</v>
      </c>
      <c r="GL36" s="7">
        <v>26.041968699568667</v>
      </c>
      <c r="GM36" s="7">
        <v>28.259144022219314</v>
      </c>
      <c r="GN36" s="7">
        <v>22.23106229300021</v>
      </c>
      <c r="GO36" s="7">
        <v>17.157811959249667</v>
      </c>
      <c r="GP36" s="7">
        <v>16.336487730376792</v>
      </c>
      <c r="GQ36" s="7">
        <v>21.048803533717305</v>
      </c>
      <c r="GR36" s="7">
        <v>17.337356624013662</v>
      </c>
      <c r="GS36" s="7">
        <v>14.358840228083718</v>
      </c>
      <c r="GT36" s="7">
        <v>14.986458702421762</v>
      </c>
      <c r="GU36" s="7">
        <v>18.08071241256993</v>
      </c>
      <c r="GV36" s="7">
        <v>18.309650943077951</v>
      </c>
      <c r="GW36" s="7">
        <v>19.599831029241031</v>
      </c>
      <c r="GX36" s="7">
        <v>23.403442904001398</v>
      </c>
    </row>
    <row r="37" spans="1:206" ht="14.25" customHeight="1">
      <c r="A37" s="6" t="s">
        <v>7</v>
      </c>
      <c r="B37" s="7">
        <v>46.31</v>
      </c>
      <c r="C37" s="7">
        <v>53.29</v>
      </c>
      <c r="D37" s="7">
        <v>52.99</v>
      </c>
      <c r="E37" s="7">
        <v>60.52</v>
      </c>
      <c r="F37" s="7">
        <v>46.31</v>
      </c>
      <c r="G37" s="7">
        <v>53.29</v>
      </c>
      <c r="H37" s="7">
        <v>52.99</v>
      </c>
      <c r="I37" s="7">
        <v>60.52</v>
      </c>
      <c r="J37" s="7">
        <v>50.131</v>
      </c>
      <c r="K37" s="7">
        <v>49.986999999999995</v>
      </c>
      <c r="L37" s="7">
        <v>55.675999999999988</v>
      </c>
      <c r="M37" s="7">
        <v>64.451999999999998</v>
      </c>
      <c r="N37" s="7">
        <v>53.930150359999999</v>
      </c>
      <c r="O37" s="7">
        <v>58.791767640000003</v>
      </c>
      <c r="P37" s="7">
        <v>57.258367999999997</v>
      </c>
      <c r="Q37" s="7">
        <v>66.684785000000005</v>
      </c>
      <c r="R37" s="7">
        <v>54.596834386221587</v>
      </c>
      <c r="S37" s="7">
        <v>62.766958030694305</v>
      </c>
      <c r="T37" s="7">
        <v>60.82946797228206</v>
      </c>
      <c r="U37" s="7">
        <v>72.061536694052563</v>
      </c>
      <c r="V37" s="7">
        <v>63.579398616765047</v>
      </c>
      <c r="W37" s="7">
        <v>68.404448550413775</v>
      </c>
      <c r="X37" s="7">
        <v>65.780437429087286</v>
      </c>
      <c r="Y37" s="7">
        <v>83.847604287058516</v>
      </c>
      <c r="Z37" s="7">
        <v>67.181325232997708</v>
      </c>
      <c r="AA37" s="7">
        <v>77.07719614623656</v>
      </c>
      <c r="AB37" s="7">
        <v>75.407775779999994</v>
      </c>
      <c r="AC37" s="7">
        <v>83.661143920000001</v>
      </c>
      <c r="AD37" s="7">
        <v>68.904316199999997</v>
      </c>
      <c r="AE37" s="7">
        <v>84.472727039999995</v>
      </c>
      <c r="AF37" s="7">
        <v>80.452656829999995</v>
      </c>
      <c r="AG37" s="7">
        <v>90.538899839999999</v>
      </c>
      <c r="AH37" s="7">
        <v>80.992559100000008</v>
      </c>
      <c r="AI37" s="7">
        <v>97.152874990000001</v>
      </c>
      <c r="AJ37" s="7">
        <v>86.084831410000007</v>
      </c>
      <c r="AK37" s="7">
        <v>99.513978650000013</v>
      </c>
      <c r="AL37" s="7">
        <v>84.245177280000021</v>
      </c>
      <c r="AM37" s="7">
        <v>105.23608047</v>
      </c>
      <c r="AN37" s="7">
        <v>90.594271120000002</v>
      </c>
      <c r="AO37" s="7">
        <v>107.40714127999999</v>
      </c>
      <c r="AP37" s="7">
        <v>94.096431919999986</v>
      </c>
      <c r="AQ37" s="7">
        <v>113.84889561</v>
      </c>
      <c r="AR37" s="7">
        <v>99.396699650000016</v>
      </c>
      <c r="AS37" s="7">
        <v>112.75653809000002</v>
      </c>
      <c r="AT37" s="7">
        <v>105.27512541000002</v>
      </c>
      <c r="AU37" s="7">
        <v>199.01567992999992</v>
      </c>
      <c r="AV37" s="7">
        <v>193.57382821000002</v>
      </c>
      <c r="AW37" s="7">
        <v>174.10835269400005</v>
      </c>
      <c r="AX37" s="7">
        <v>148.77682482000003</v>
      </c>
      <c r="AY37" s="7">
        <v>194.07266167000006</v>
      </c>
      <c r="AZ37" s="7">
        <v>153.70153895000001</v>
      </c>
      <c r="BA37" s="7">
        <v>167.56117149999992</v>
      </c>
      <c r="BB37" s="7">
        <v>153.27702611999996</v>
      </c>
      <c r="BC37" s="7">
        <v>186.30608100000001</v>
      </c>
      <c r="BD37" s="7">
        <v>175.67736360999999</v>
      </c>
      <c r="BE37" s="7">
        <v>186.82118245999999</v>
      </c>
      <c r="BF37" s="7">
        <v>167.0163594899999</v>
      </c>
      <c r="BG37" s="7">
        <v>203.08882424999959</v>
      </c>
      <c r="BH37" s="7">
        <v>185.73232376999991</v>
      </c>
      <c r="BI37" s="7">
        <v>197.2015764599999</v>
      </c>
      <c r="BJ37" s="7">
        <v>179.11050036</v>
      </c>
      <c r="BK37" s="7">
        <v>212.85366164999999</v>
      </c>
      <c r="BL37" s="7">
        <v>181.77701765699999</v>
      </c>
      <c r="BM37" s="7">
        <f t="shared" si="0"/>
        <v>191.96877605</v>
      </c>
      <c r="BN37" s="7">
        <f t="shared" si="1"/>
        <v>182.77197516999999</v>
      </c>
      <c r="BO37" s="7">
        <f t="shared" si="2"/>
        <v>203.52756570000003</v>
      </c>
      <c r="BP37" s="7">
        <v>18.917145399713601</v>
      </c>
      <c r="BQ37" s="7">
        <v>20.74403679646608</v>
      </c>
      <c r="BR37" s="7">
        <v>23.918216420585363</v>
      </c>
      <c r="BS37" s="7">
        <v>21.650152770763142</v>
      </c>
      <c r="BT37" s="7">
        <v>24.329223599914492</v>
      </c>
      <c r="BU37" s="7">
        <v>22.425072179736148</v>
      </c>
      <c r="BV37" s="7">
        <v>20.270909916830941</v>
      </c>
      <c r="BW37" s="7">
        <v>19.631593199948846</v>
      </c>
      <c r="BX37" s="7">
        <v>25.877934312307499</v>
      </c>
      <c r="BY37" s="7">
        <v>32.691483469999994</v>
      </c>
      <c r="BZ37" s="7">
        <v>24.870064886669514</v>
      </c>
      <c r="CA37" s="7">
        <v>26.286055930389018</v>
      </c>
      <c r="CB37" s="7">
        <v>20.685916164227628</v>
      </c>
      <c r="CC37" s="7">
        <v>22.673412041974636</v>
      </c>
      <c r="CD37" s="7">
        <v>23.821997026795447</v>
      </c>
      <c r="CE37" s="7">
        <v>24.307172238286423</v>
      </c>
      <c r="CF37" s="7">
        <v>26.117183817950114</v>
      </c>
      <c r="CG37" s="7">
        <v>26.652840090000023</v>
      </c>
      <c r="CH37" s="7">
        <v>23.464372000000001</v>
      </c>
      <c r="CI37" s="7">
        <v>21.99719052</v>
      </c>
      <c r="CJ37" s="7">
        <v>29.946213259999993</v>
      </c>
      <c r="CK37" s="7">
        <v>28.423782440000004</v>
      </c>
      <c r="CL37" s="7">
        <v>26.750117929999998</v>
      </c>
      <c r="CM37" s="7">
        <v>28.487243550000002</v>
      </c>
      <c r="CN37" s="7">
        <v>19.6929771</v>
      </c>
      <c r="CO37" s="7">
        <v>23.548107129999998</v>
      </c>
      <c r="CP37" s="7">
        <v>25.663231969999998</v>
      </c>
      <c r="CQ37" s="7">
        <v>27.695080719999996</v>
      </c>
      <c r="CR37" s="7">
        <v>27.435238650000002</v>
      </c>
      <c r="CS37" s="7">
        <v>29.34240767</v>
      </c>
      <c r="CT37" s="7">
        <v>24.423912529999996</v>
      </c>
      <c r="CU37" s="7">
        <v>24.756419180000002</v>
      </c>
      <c r="CV37" s="7">
        <v>31.272325120000001</v>
      </c>
      <c r="CW37" s="7">
        <v>30.767180519999997</v>
      </c>
      <c r="CX37" s="7">
        <v>29.201696700000003</v>
      </c>
      <c r="CY37" s="7">
        <v>30.57002262</v>
      </c>
      <c r="CZ37" s="7">
        <v>23.053264160000001</v>
      </c>
      <c r="DA37" s="7">
        <v>25.955668200000002</v>
      </c>
      <c r="DB37" s="7">
        <v>31.983626740000002</v>
      </c>
      <c r="DC37" s="7">
        <v>28.419217920000001</v>
      </c>
      <c r="DD37" s="7">
        <v>33.50910021</v>
      </c>
      <c r="DE37" s="7">
        <v>35.22455686</v>
      </c>
      <c r="DF37" s="7">
        <v>24.631084450000003</v>
      </c>
      <c r="DG37" s="7">
        <v>30.322744960000001</v>
      </c>
      <c r="DH37" s="7">
        <v>31.131001999999999</v>
      </c>
      <c r="DI37" s="7">
        <v>34.622540270000002</v>
      </c>
      <c r="DJ37" s="7">
        <v>32.956531860000005</v>
      </c>
      <c r="DK37" s="7">
        <v>31.934906519999995</v>
      </c>
      <c r="DL37" s="7">
        <v>26.129898310000009</v>
      </c>
      <c r="DM37" s="7">
        <v>27.47733903</v>
      </c>
      <c r="DN37" s="7">
        <v>30.637939940000006</v>
      </c>
      <c r="DO37" s="7">
        <v>31.233920180000002</v>
      </c>
      <c r="DP37" s="7">
        <v>35.815990949999993</v>
      </c>
      <c r="DQ37" s="7">
        <v>38.186169340000006</v>
      </c>
      <c r="DR37" s="7">
        <v>27.172089499999995</v>
      </c>
      <c r="DS37" s="7">
        <v>29.154843000000007</v>
      </c>
      <c r="DT37" s="7">
        <v>34.267338620000004</v>
      </c>
      <c r="DU37" s="7">
        <v>38.660230340000005</v>
      </c>
      <c r="DV37" s="7">
        <v>35.012898519999993</v>
      </c>
      <c r="DW37" s="7">
        <v>33.734012419999999</v>
      </c>
      <c r="DX37" s="7">
        <v>26.955210829999999</v>
      </c>
      <c r="DY37" s="7">
        <v>30.513190720000001</v>
      </c>
      <c r="DZ37" s="7">
        <v>36.628030369999998</v>
      </c>
      <c r="EA37" s="7">
        <v>34.469429259999998</v>
      </c>
      <c r="EB37" s="7">
        <v>42.418167080000003</v>
      </c>
      <c r="EC37" s="7">
        <v>36.961299269999998</v>
      </c>
      <c r="ED37" s="7">
        <v>31.450341880000003</v>
      </c>
      <c r="EE37" s="7">
        <v>31.48341611</v>
      </c>
      <c r="EF37" s="7">
        <v>36.462941660000006</v>
      </c>
      <c r="EG37" s="7">
        <v>39.488086160000002</v>
      </c>
      <c r="EH37" s="7">
        <v>37.974681369999999</v>
      </c>
      <c r="EI37" s="7">
        <v>35.293770560000006</v>
      </c>
      <c r="EJ37" s="7">
        <v>29.612002130000004</v>
      </c>
      <c r="EK37" s="7">
        <v>34.453123280000007</v>
      </c>
      <c r="EL37" s="7">
        <v>41.21</v>
      </c>
      <c r="EM37" s="7">
        <v>51.478257100000008</v>
      </c>
      <c r="EN37" s="7">
        <v>88.564422829999899</v>
      </c>
      <c r="EO37" s="7">
        <v>58.972999999999999</v>
      </c>
      <c r="EP37" s="7">
        <v>69.293203169999998</v>
      </c>
      <c r="EQ37" s="7">
        <v>59.529772999999999</v>
      </c>
      <c r="ER37" s="7">
        <v>64.750852040000012</v>
      </c>
      <c r="ES37" s="7">
        <v>59.128401850000031</v>
      </c>
      <c r="ET37" s="7">
        <v>58.37126317000002</v>
      </c>
      <c r="EU37" s="7">
        <v>56.608687674000002</v>
      </c>
      <c r="EV37" s="7">
        <v>41.207013150000016</v>
      </c>
      <c r="EW37" s="7">
        <v>46.76253509</v>
      </c>
      <c r="EX37" s="7">
        <v>60.807276580000014</v>
      </c>
      <c r="EY37" s="7">
        <v>64.840731530000014</v>
      </c>
      <c r="EZ37" s="7">
        <v>69.023935940000001</v>
      </c>
      <c r="FA37" s="7">
        <v>60.207994200000016</v>
      </c>
      <c r="FB37" s="7">
        <v>49.636689820000001</v>
      </c>
      <c r="FC37" s="7">
        <v>45.588318109999996</v>
      </c>
      <c r="FD37" s="7">
        <v>58.476531020000003</v>
      </c>
      <c r="FE37" s="7">
        <v>58.010245020000006</v>
      </c>
      <c r="FF37" s="7">
        <v>56.540456319999997</v>
      </c>
      <c r="FG37" s="7">
        <v>53.010470159999912</v>
      </c>
      <c r="FH37" s="7">
        <v>42.361016379999995</v>
      </c>
      <c r="FI37" s="7">
        <v>49.222324989999983</v>
      </c>
      <c r="FJ37" s="7">
        <v>61.693684749999989</v>
      </c>
      <c r="FK37" s="7">
        <v>66.656000000000006</v>
      </c>
      <c r="FL37" s="7">
        <v>58.433999999999997</v>
      </c>
      <c r="FM37" s="7">
        <v>61.216081000000003</v>
      </c>
      <c r="FN37" s="7">
        <v>57.422333870000003</v>
      </c>
      <c r="FO37" s="7">
        <v>55.611360380000001</v>
      </c>
      <c r="FP37" s="7">
        <v>62.643669359999997</v>
      </c>
      <c r="FQ37" s="7">
        <v>64.640389990000003</v>
      </c>
      <c r="FR37" s="7">
        <v>62.4405299599999</v>
      </c>
      <c r="FS37" s="7">
        <v>59.740262510000001</v>
      </c>
      <c r="FT37" s="7">
        <v>49.316016599999998</v>
      </c>
      <c r="FU37" s="7">
        <v>51.53730066</v>
      </c>
      <c r="FV37" s="7">
        <v>66.163042229999903</v>
      </c>
      <c r="FW37" s="7">
        <v>65.314536439999898</v>
      </c>
      <c r="FX37" s="7">
        <v>65.379596999999904</v>
      </c>
      <c r="FY37" s="7">
        <v>72.394690809999787</v>
      </c>
      <c r="FZ37" s="7">
        <v>59.496925120000007</v>
      </c>
      <c r="GA37" s="7">
        <v>59.1353986499999</v>
      </c>
      <c r="GB37" s="7">
        <v>67.099999999999994</v>
      </c>
      <c r="GC37" s="7">
        <v>66.753</v>
      </c>
      <c r="GD37" s="7">
        <v>66.02168266000001</v>
      </c>
      <c r="GE37" s="7">
        <v>64.426893799999888</v>
      </c>
      <c r="GF37" s="7">
        <v>53.57780897</v>
      </c>
      <c r="GG37" s="7">
        <v>56.617691389999997</v>
      </c>
      <c r="GH37" s="7">
        <v>68.915000000000006</v>
      </c>
      <c r="GI37" s="7">
        <v>73.423000000000002</v>
      </c>
      <c r="GJ37" s="7">
        <v>67.432661649999986</v>
      </c>
      <c r="GK37" s="7">
        <v>71.998000000000005</v>
      </c>
      <c r="GL37" s="7">
        <v>60.12</v>
      </c>
      <c r="GM37" s="7">
        <v>57.047746056999998</v>
      </c>
      <c r="GN37" s="7">
        <v>64.6092716</v>
      </c>
      <c r="GO37" s="7">
        <v>67.102215619999996</v>
      </c>
      <c r="GP37" s="7">
        <v>64.346314809999996</v>
      </c>
      <c r="GQ37" s="7">
        <v>60.520245619999997</v>
      </c>
      <c r="GR37" s="7">
        <v>49.863327310000003</v>
      </c>
      <c r="GS37" s="7">
        <v>55.206188879999992</v>
      </c>
      <c r="GT37" s="7">
        <v>77.702458979999989</v>
      </c>
      <c r="GU37" s="7">
        <v>61.93891739</v>
      </c>
      <c r="GV37" s="7">
        <v>71.727649999999997</v>
      </c>
      <c r="GW37" s="7">
        <v>69.860998309999999</v>
      </c>
      <c r="GX37" s="7">
        <v>65.12</v>
      </c>
    </row>
    <row r="38" spans="1:206" ht="14.25" customHeight="1">
      <c r="A38" s="6" t="s">
        <v>8</v>
      </c>
      <c r="B38" s="7">
        <v>43.15</v>
      </c>
      <c r="C38" s="7">
        <v>58.05</v>
      </c>
      <c r="D38" s="7">
        <v>63.7</v>
      </c>
      <c r="E38" s="7">
        <v>58.91</v>
      </c>
      <c r="F38" s="7">
        <v>40.31</v>
      </c>
      <c r="G38" s="7">
        <v>58.35</v>
      </c>
      <c r="H38" s="7">
        <v>68.19</v>
      </c>
      <c r="I38" s="7">
        <v>63.02</v>
      </c>
      <c r="J38" s="7">
        <v>42.590490332627176</v>
      </c>
      <c r="K38" s="7">
        <v>41.781597489696082</v>
      </c>
      <c r="L38" s="7">
        <v>46.456503425290649</v>
      </c>
      <c r="M38" s="7">
        <v>47.58549357083394</v>
      </c>
      <c r="N38" s="7">
        <v>39.3910855926419</v>
      </c>
      <c r="O38" s="7">
        <v>45.007866805456096</v>
      </c>
      <c r="P38" s="7">
        <v>48.120898564181111</v>
      </c>
      <c r="Q38" s="7">
        <v>54.527296650774481</v>
      </c>
      <c r="R38" s="7">
        <v>45.579171559084863</v>
      </c>
      <c r="S38" s="7">
        <v>53.821087697038443</v>
      </c>
      <c r="T38" s="7">
        <v>52.692436218195837</v>
      </c>
      <c r="U38" s="7">
        <v>55.615784446441396</v>
      </c>
      <c r="V38" s="7">
        <v>48.597695771221339</v>
      </c>
      <c r="W38" s="7">
        <v>56.78168863705271</v>
      </c>
      <c r="X38" s="7">
        <v>57.158293449980761</v>
      </c>
      <c r="Y38" s="7">
        <v>62.87967159546605</v>
      </c>
      <c r="Z38" s="7">
        <v>53.30064305359921</v>
      </c>
      <c r="AA38" s="7">
        <v>61.494944011780781</v>
      </c>
      <c r="AB38" s="7">
        <v>64.06853563249706</v>
      </c>
      <c r="AC38" s="7">
        <v>62.205113916043331</v>
      </c>
      <c r="AD38" s="7">
        <v>52.261340599951396</v>
      </c>
      <c r="AE38" s="7">
        <v>64.318302161994538</v>
      </c>
      <c r="AF38" s="7">
        <v>66.18334053968735</v>
      </c>
      <c r="AG38" s="7">
        <v>67.532684928359174</v>
      </c>
      <c r="AH38" s="7">
        <v>59.186773862627788</v>
      </c>
      <c r="AI38" s="7">
        <v>71.194691337958361</v>
      </c>
      <c r="AJ38" s="7">
        <v>70.301449525220661</v>
      </c>
      <c r="AK38" s="7">
        <v>74.329261474593324</v>
      </c>
      <c r="AL38" s="7">
        <v>61.744557522470174</v>
      </c>
      <c r="AM38" s="7">
        <v>77.585385407989165</v>
      </c>
      <c r="AN38" s="7">
        <v>73.679999856859069</v>
      </c>
      <c r="AO38" s="7">
        <v>76.991603992527388</v>
      </c>
      <c r="AP38" s="7">
        <v>66.891716936228207</v>
      </c>
      <c r="AQ38" s="7">
        <v>79.975119571277475</v>
      </c>
      <c r="AR38" s="7">
        <v>80.425725713561832</v>
      </c>
      <c r="AS38" s="7">
        <v>81.195088694484454</v>
      </c>
      <c r="AT38" s="7">
        <v>58.715064216871419</v>
      </c>
      <c r="AU38" s="7">
        <v>11.315909207537555</v>
      </c>
      <c r="AV38" s="7">
        <v>26.47357061174975</v>
      </c>
      <c r="AW38" s="7">
        <v>70.115875565325197</v>
      </c>
      <c r="AX38" s="7">
        <v>60.710311020635899</v>
      </c>
      <c r="AY38" s="7">
        <v>73.835564588962569</v>
      </c>
      <c r="AZ38" s="7">
        <v>98.294398777784963</v>
      </c>
      <c r="BA38" s="7">
        <v>77.613906381739014</v>
      </c>
      <c r="BB38" s="7">
        <v>46.065389948009397</v>
      </c>
      <c r="BC38" s="7">
        <v>80.583912271570782</v>
      </c>
      <c r="BD38" s="7">
        <v>106.17213415618534</v>
      </c>
      <c r="BE38" s="7">
        <v>80.847450995336601</v>
      </c>
      <c r="BF38" s="7">
        <v>56.208123534708406</v>
      </c>
      <c r="BG38" s="7">
        <v>99.221226550956828</v>
      </c>
      <c r="BH38" s="7">
        <v>119.73534814095478</v>
      </c>
      <c r="BI38" s="7">
        <v>91.431636837147096</v>
      </c>
      <c r="BJ38" s="7">
        <v>59.454502696218825</v>
      </c>
      <c r="BK38" s="7">
        <v>87.199099730761489</v>
      </c>
      <c r="BL38" s="7">
        <v>122.43285404201941</v>
      </c>
      <c r="BM38" s="7">
        <f t="shared" si="0"/>
        <v>97.689847566378219</v>
      </c>
      <c r="BN38" s="7">
        <f t="shared" si="1"/>
        <v>61.81676710204033</v>
      </c>
      <c r="BO38" s="7">
        <f t="shared" si="2"/>
        <v>103.90633517991103</v>
      </c>
      <c r="BP38" s="7">
        <v>15.059337948245073</v>
      </c>
      <c r="BQ38" s="7">
        <v>15.525640815560456</v>
      </c>
      <c r="BR38" s="7">
        <v>18.012717007415812</v>
      </c>
      <c r="BS38" s="7">
        <v>17.779291014517415</v>
      </c>
      <c r="BT38" s="7">
        <v>19.53980225243345</v>
      </c>
      <c r="BU38" s="7">
        <v>19.462595370101841</v>
      </c>
      <c r="BV38" s="7">
        <v>18.653845975513001</v>
      </c>
      <c r="BW38" s="7">
        <v>17.937289975656377</v>
      </c>
      <c r="BX38" s="7">
        <v>20.567157498811387</v>
      </c>
      <c r="BY38" s="7">
        <v>23.483361455127461</v>
      </c>
      <c r="BZ38" s="7">
        <v>18.205802723669311</v>
      </c>
      <c r="CA38" s="7">
        <v>21.190507416669274</v>
      </c>
      <c r="CB38" s="7">
        <v>17.079868327419543</v>
      </c>
      <c r="CC38" s="7">
        <v>17.039093013859688</v>
      </c>
      <c r="CD38" s="7">
        <v>19.181681712319978</v>
      </c>
      <c r="CE38" s="7">
        <v>19.136434407896108</v>
      </c>
      <c r="CF38" s="7">
        <v>21.120046559164642</v>
      </c>
      <c r="CG38" s="7">
        <v>21.238463044720028</v>
      </c>
      <c r="CH38" s="7">
        <v>21.566619560102566</v>
      </c>
      <c r="CI38" s="7">
        <v>20.131565408431605</v>
      </c>
      <c r="CJ38" s="7">
        <v>22.370350663962892</v>
      </c>
      <c r="CK38" s="7">
        <v>21.025851867758178</v>
      </c>
      <c r="CL38" s="7">
        <v>19.656002025473818</v>
      </c>
      <c r="CM38" s="7">
        <v>21.523260022811336</v>
      </c>
      <c r="CN38" s="7">
        <v>15.439357854027701</v>
      </c>
      <c r="CO38" s="7">
        <v>17.383935240045851</v>
      </c>
      <c r="CP38" s="7">
        <v>19.438047505877847</v>
      </c>
      <c r="CQ38" s="7">
        <v>21.030493991107079</v>
      </c>
      <c r="CR38" s="7">
        <v>20.768013168017934</v>
      </c>
      <c r="CS38" s="7">
        <v>22.519795002869532</v>
      </c>
      <c r="CT38" s="7">
        <v>21.126587792026935</v>
      </c>
      <c r="CU38" s="7">
        <v>21.878975533858643</v>
      </c>
      <c r="CV38" s="7">
        <v>23.177777213801775</v>
      </c>
      <c r="CW38" s="7">
        <v>22.483051272717599</v>
      </c>
      <c r="CX38" s="7">
        <v>21.504413358092719</v>
      </c>
      <c r="CY38" s="7">
        <v>23.545220297548845</v>
      </c>
      <c r="CZ38" s="7">
        <v>17.405416880359862</v>
      </c>
      <c r="DA38" s="7">
        <v>18.359388025972002</v>
      </c>
      <c r="DB38" s="7">
        <v>23.421968956295931</v>
      </c>
      <c r="DC38" s="7">
        <v>20.979904210233364</v>
      </c>
      <c r="DD38" s="7">
        <v>24.470097633266299</v>
      </c>
      <c r="DE38" s="7">
        <v>25.744689494458697</v>
      </c>
      <c r="DF38" s="7">
        <v>21.717007648435441</v>
      </c>
      <c r="DG38" s="7">
        <v>25.735799708680407</v>
      </c>
      <c r="DH38" s="7">
        <v>22.848642168104817</v>
      </c>
      <c r="DI38" s="7">
        <v>25.23923556349343</v>
      </c>
      <c r="DJ38" s="7">
        <v>23.955931454647889</v>
      </c>
      <c r="DK38" s="7">
        <v>25.134094456451997</v>
      </c>
      <c r="DL38" s="7">
        <v>20.03163077360248</v>
      </c>
      <c r="DM38" s="7">
        <v>19.187500263592568</v>
      </c>
      <c r="DN38" s="7">
        <v>22.525426485275123</v>
      </c>
      <c r="DO38" s="7">
        <v>23.303447489839719</v>
      </c>
      <c r="DP38" s="7">
        <v>26.686323153915094</v>
      </c>
      <c r="DQ38" s="7">
        <v>27.595614764234355</v>
      </c>
      <c r="DR38" s="7">
        <v>23.465104697796576</v>
      </c>
      <c r="DS38" s="7">
        <v>25.739615135672377</v>
      </c>
      <c r="DT38" s="7">
        <v>24.475280023390106</v>
      </c>
      <c r="DU38" s="7">
        <v>27.060180000210199</v>
      </c>
      <c r="DV38" s="7">
        <v>24.913401990664028</v>
      </c>
      <c r="DW38" s="7">
        <v>25.018022001653172</v>
      </c>
      <c r="DX38" s="7">
        <v>20.418042681591558</v>
      </c>
      <c r="DY38" s="7">
        <v>20.51264693924</v>
      </c>
      <c r="DZ38" s="7">
        <v>25.961027315396645</v>
      </c>
      <c r="EA38" s="7">
        <v>24.950071196201613</v>
      </c>
      <c r="EB38" s="7">
        <v>28.398580312997066</v>
      </c>
      <c r="EC38" s="7">
        <v>26.6264680620788</v>
      </c>
      <c r="ED38" s="7">
        <v>26.776764633869739</v>
      </c>
      <c r="EE38" s="7">
        <v>26.734779992863295</v>
      </c>
      <c r="EF38" s="7">
        <v>26.914181086828791</v>
      </c>
      <c r="EG38" s="7">
        <v>28.32454159858095</v>
      </c>
      <c r="EH38" s="7">
        <v>26.639831516519777</v>
      </c>
      <c r="EI38" s="7">
        <v>26.230715579383723</v>
      </c>
      <c r="EJ38" s="7">
        <v>22.56270422698147</v>
      </c>
      <c r="EK38" s="7">
        <v>22.942359989889951</v>
      </c>
      <c r="EL38" s="7">
        <v>13.21</v>
      </c>
      <c r="EM38" s="7" t="s">
        <v>124</v>
      </c>
      <c r="EN38" s="7" t="s">
        <v>124</v>
      </c>
      <c r="EO38" s="7">
        <v>11.315909207537555</v>
      </c>
      <c r="EP38" s="7">
        <v>8.0831164787702292</v>
      </c>
      <c r="EQ38" s="7">
        <v>8.5285572000938483</v>
      </c>
      <c r="ER38" s="7">
        <v>9.8618969328856689</v>
      </c>
      <c r="ES38" s="7">
        <v>28.514485395657474</v>
      </c>
      <c r="ET38" s="7">
        <v>17.863525038437356</v>
      </c>
      <c r="EU38" s="7">
        <v>23.737865131230411</v>
      </c>
      <c r="EV38" s="7">
        <v>17.740762307491394</v>
      </c>
      <c r="EW38" s="7">
        <v>20.41594477170468</v>
      </c>
      <c r="EX38" s="7">
        <v>22.553603941439821</v>
      </c>
      <c r="EY38" s="7">
        <v>12.143600896986552</v>
      </c>
      <c r="EZ38" s="7">
        <v>30.207838704236256</v>
      </c>
      <c r="FA38" s="7">
        <v>31.484124987739769</v>
      </c>
      <c r="FB38" s="7">
        <v>32.728752366619524</v>
      </c>
      <c r="FC38" s="7">
        <v>44.457059623525325</v>
      </c>
      <c r="FD38" s="7">
        <v>21.108586787640103</v>
      </c>
      <c r="FE38" s="7">
        <v>22.244530431799092</v>
      </c>
      <c r="FF38" s="7">
        <v>17.781582877169235</v>
      </c>
      <c r="FG38" s="7">
        <v>37.58779307277068</v>
      </c>
      <c r="FH38" s="7">
        <v>13.252783136192857</v>
      </c>
      <c r="FI38" s="7">
        <v>15.014091130767108</v>
      </c>
      <c r="FJ38" s="7">
        <v>17.798515681049398</v>
      </c>
      <c r="FK38" s="7">
        <v>26.857265970389236</v>
      </c>
      <c r="FL38" s="7">
        <v>27.374894183881484</v>
      </c>
      <c r="FM38" s="7">
        <v>26.351752117300066</v>
      </c>
      <c r="FN38" s="7">
        <v>33.846459282904497</v>
      </c>
      <c r="FO38" s="7">
        <v>49.420644707694372</v>
      </c>
      <c r="FP38" s="7">
        <v>22.905030165586467</v>
      </c>
      <c r="FQ38" s="7">
        <v>24.375339586143049</v>
      </c>
      <c r="FR38" s="7">
        <v>16.805044545745528</v>
      </c>
      <c r="FS38" s="7">
        <v>39.667066863448049</v>
      </c>
      <c r="FT38" s="7">
        <v>17.002404794009198</v>
      </c>
      <c r="FU38" s="7">
        <v>17.306460486658899</v>
      </c>
      <c r="FV38" s="7">
        <v>21.899258254040308</v>
      </c>
      <c r="FW38" s="7">
        <v>30.980581739502945</v>
      </c>
      <c r="FX38" s="7">
        <v>35.683518828168339</v>
      </c>
      <c r="FY38" s="7">
        <v>32.557125983285545</v>
      </c>
      <c r="FZ38" s="7">
        <v>35.63063278351553</v>
      </c>
      <c r="GA38" s="7">
        <v>56.159733724368571</v>
      </c>
      <c r="GB38" s="7">
        <v>27.944981633070679</v>
      </c>
      <c r="GC38" s="7">
        <v>25.566689690933536</v>
      </c>
      <c r="GD38" s="7">
        <v>18.851541796229974</v>
      </c>
      <c r="GE38" s="7">
        <v>47.013405349983593</v>
      </c>
      <c r="GF38" s="7">
        <v>16.732682555541516</v>
      </c>
      <c r="GG38" s="7">
        <v>17.043084373440252</v>
      </c>
      <c r="GH38" s="7">
        <v>25.678735767237054</v>
      </c>
      <c r="GI38" s="7">
        <v>23.760270801814361</v>
      </c>
      <c r="GJ38" s="7">
        <v>34.756113109128599</v>
      </c>
      <c r="GK38" s="7">
        <v>28.682715819818529</v>
      </c>
      <c r="GL38" s="7">
        <v>37.560894979823829</v>
      </c>
      <c r="GM38" s="7">
        <v>56.641684349023237</v>
      </c>
      <c r="GN38" s="7">
        <v>28.230274713172353</v>
      </c>
      <c r="GO38" s="7">
        <v>27.715795643780361</v>
      </c>
      <c r="GP38" s="7">
        <v>21.250764677673608</v>
      </c>
      <c r="GQ38" s="7">
        <v>48.723287244924251</v>
      </c>
      <c r="GR38" s="7">
        <v>18.93461048079179</v>
      </c>
      <c r="GS38" s="7">
        <v>18.399144331495254</v>
      </c>
      <c r="GT38" s="7">
        <v>24.48301228975329</v>
      </c>
      <c r="GU38" s="7">
        <v>32.216157467204539</v>
      </c>
      <c r="GV38" s="7">
        <v>37.431413471001896</v>
      </c>
      <c r="GW38" s="7">
        <v>34.258764241704604</v>
      </c>
      <c r="GX38" s="7">
        <v>37.808748498537931</v>
      </c>
    </row>
    <row r="39" spans="1:20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</row>
    <row r="40" spans="1:20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</row>
    <row r="41" spans="1:20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</row>
    <row r="42" spans="1:20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</row>
    <row r="43" spans="1:206" ht="14.25" customHeight="1">
      <c r="A43" s="8" t="s">
        <v>9</v>
      </c>
      <c r="B43" s="9" t="s">
        <v>125</v>
      </c>
      <c r="C43" s="9" t="s">
        <v>72</v>
      </c>
      <c r="D43" s="9" t="s">
        <v>117</v>
      </c>
      <c r="E43" s="9" t="s">
        <v>90</v>
      </c>
      <c r="F43" s="9" t="s">
        <v>126</v>
      </c>
      <c r="G43" s="9" t="s">
        <v>92</v>
      </c>
      <c r="H43" s="9" t="s">
        <v>98</v>
      </c>
      <c r="I43" s="9" t="s">
        <v>93</v>
      </c>
      <c r="J43" s="9" t="s">
        <v>79</v>
      </c>
      <c r="K43" s="9" t="s">
        <v>100</v>
      </c>
      <c r="L43" s="9" t="s">
        <v>95</v>
      </c>
      <c r="M43" s="9" t="s">
        <v>120</v>
      </c>
      <c r="N43" s="9" t="s">
        <v>127</v>
      </c>
      <c r="O43" s="9" t="s">
        <v>72</v>
      </c>
      <c r="P43" s="9" t="s">
        <v>117</v>
      </c>
      <c r="Q43" s="9" t="s">
        <v>90</v>
      </c>
      <c r="R43" s="9" t="s">
        <v>126</v>
      </c>
      <c r="S43" s="9" t="s">
        <v>92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</row>
    <row r="44" spans="1:206" ht="14.25" customHeight="1">
      <c r="A44" s="6" t="s">
        <v>33</v>
      </c>
      <c r="B44" s="2">
        <v>100</v>
      </c>
      <c r="C44" s="2">
        <v>100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100</v>
      </c>
      <c r="J44" s="2">
        <v>100</v>
      </c>
      <c r="K44" s="2">
        <v>100</v>
      </c>
      <c r="L44" s="2">
        <v>100</v>
      </c>
      <c r="M44" s="2">
        <v>100</v>
      </c>
      <c r="N44" s="2">
        <v>100</v>
      </c>
      <c r="O44" s="2">
        <v>100</v>
      </c>
      <c r="P44" s="2">
        <v>100</v>
      </c>
      <c r="Q44" s="2">
        <v>100</v>
      </c>
      <c r="R44" s="2">
        <v>100</v>
      </c>
      <c r="S44" s="2">
        <v>100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</row>
    <row r="45" spans="1:206" ht="14.25" customHeight="1">
      <c r="A45" s="6" t="s">
        <v>34</v>
      </c>
      <c r="B45" s="7">
        <v>36.58406616494225</v>
      </c>
      <c r="C45" s="7">
        <v>38.446970917176849</v>
      </c>
      <c r="D45" s="7">
        <v>37.431410560434841</v>
      </c>
      <c r="E45" s="7">
        <v>37.725072105636173</v>
      </c>
      <c r="F45" s="7">
        <v>37.382982776031767</v>
      </c>
      <c r="G45" s="7">
        <v>39.065373921942815</v>
      </c>
      <c r="H45" s="7">
        <v>35.721825565500865</v>
      </c>
      <c r="I45" s="7">
        <v>37.120567669043716</v>
      </c>
      <c r="J45" s="7">
        <v>39.20311534791977</v>
      </c>
      <c r="K45" s="7">
        <v>40.329657063125431</v>
      </c>
      <c r="L45" s="7">
        <v>39.34053453929284</v>
      </c>
      <c r="M45" s="7">
        <v>33.492933134728631</v>
      </c>
      <c r="N45" s="7">
        <v>36.668268226407477</v>
      </c>
      <c r="O45" s="7">
        <v>39.604915219319885</v>
      </c>
      <c r="P45" s="7">
        <v>40.867580070606749</v>
      </c>
      <c r="Q45" s="7">
        <v>39.043778746587151</v>
      </c>
      <c r="R45" s="7">
        <v>39.021024328112638</v>
      </c>
      <c r="S45" s="7">
        <v>38.491473801608116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</row>
    <row r="46" spans="1:206" ht="14.25" customHeight="1">
      <c r="A46" s="6" t="s">
        <v>35</v>
      </c>
      <c r="B46" s="7">
        <v>18.471026795247365</v>
      </c>
      <c r="C46" s="7">
        <v>18.229292023351814</v>
      </c>
      <c r="D46" s="7">
        <v>17.320014523953255</v>
      </c>
      <c r="E46" s="7">
        <v>18.353920771335723</v>
      </c>
      <c r="F46" s="7">
        <v>19.466155824181243</v>
      </c>
      <c r="G46" s="7">
        <v>17.571109348887603</v>
      </c>
      <c r="H46" s="7">
        <v>18.645507858450266</v>
      </c>
      <c r="I46" s="7">
        <v>18.800972688303769</v>
      </c>
      <c r="J46" s="7">
        <v>19.580958420078368</v>
      </c>
      <c r="K46" s="7">
        <v>17.897611058304701</v>
      </c>
      <c r="L46" s="7">
        <v>18.488749622779419</v>
      </c>
      <c r="M46" s="7">
        <v>20.033661123848159</v>
      </c>
      <c r="N46" s="7">
        <v>16.942041647137902</v>
      </c>
      <c r="O46" s="7">
        <v>17.143565171436617</v>
      </c>
      <c r="P46" s="7">
        <v>18.207156944142874</v>
      </c>
      <c r="Q46" s="7">
        <v>18.258693617175183</v>
      </c>
      <c r="R46" s="7">
        <v>17.546044287509066</v>
      </c>
      <c r="S46" s="7">
        <v>16.6342071301228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</row>
    <row r="47" spans="1:206" ht="14.25" customHeight="1">
      <c r="A47" s="6" t="s">
        <v>36</v>
      </c>
      <c r="B47" s="7">
        <v>5.0788093852138569</v>
      </c>
      <c r="C47" s="7">
        <v>4.5711465480798701</v>
      </c>
      <c r="D47" s="7">
        <v>8.3063932490252839</v>
      </c>
      <c r="E47" s="7">
        <v>5.187442321549014</v>
      </c>
      <c r="F47" s="7">
        <v>4.5404283535121968</v>
      </c>
      <c r="G47" s="7">
        <v>4.1498723935592317</v>
      </c>
      <c r="H47" s="7">
        <v>3.9822939000353537</v>
      </c>
      <c r="I47" s="7">
        <v>3.5849412886986309</v>
      </c>
      <c r="J47" s="7">
        <v>3.5726124611499919</v>
      </c>
      <c r="K47" s="7">
        <v>4.3004187703536525</v>
      </c>
      <c r="L47" s="7">
        <v>4.3867165504534631</v>
      </c>
      <c r="M47" s="7">
        <v>4.1920854051586858</v>
      </c>
      <c r="N47" s="7">
        <v>4.2651308905641798</v>
      </c>
      <c r="O47" s="7">
        <v>3.9745432025066649</v>
      </c>
      <c r="P47" s="7">
        <v>4.0663729723746336</v>
      </c>
      <c r="Q47" s="7">
        <v>3.8658184483447573</v>
      </c>
      <c r="R47" s="7">
        <v>3.8915763113078241</v>
      </c>
      <c r="S47" s="7">
        <v>3.8990402978538028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</row>
    <row r="48" spans="1:206" ht="14.25" customHeight="1">
      <c r="A48" s="6" t="s">
        <v>37</v>
      </c>
      <c r="B48" s="7">
        <v>4.8221393882101991</v>
      </c>
      <c r="C48" s="7">
        <v>4.5868821521949101</v>
      </c>
      <c r="D48" s="7">
        <v>4.5988407825062865</v>
      </c>
      <c r="E48" s="7">
        <v>4.6901687202777049</v>
      </c>
      <c r="F48" s="7">
        <v>4.5779244188492783</v>
      </c>
      <c r="G48" s="7">
        <v>5.5517644157288268</v>
      </c>
      <c r="H48" s="7">
        <v>4.5410556966344258</v>
      </c>
      <c r="I48" s="7">
        <v>4.564294930177998</v>
      </c>
      <c r="J48" s="7">
        <v>4.2633246623712671</v>
      </c>
      <c r="K48" s="7">
        <v>4.2881627433452207</v>
      </c>
      <c r="L48" s="7">
        <v>4.2995171408119015</v>
      </c>
      <c r="M48" s="7">
        <v>4.0915082470686519</v>
      </c>
      <c r="N48" s="7">
        <v>4.3413818658489909</v>
      </c>
      <c r="O48" s="7">
        <v>4.3806954381425944</v>
      </c>
      <c r="P48" s="7">
        <v>4.586063479544487</v>
      </c>
      <c r="Q48" s="7">
        <v>4.5151648935011162</v>
      </c>
      <c r="R48" s="7">
        <v>5.1111055546684909</v>
      </c>
      <c r="S48" s="7">
        <v>4.4740588977994644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</row>
    <row r="49" spans="1:206" ht="14.25" customHeight="1">
      <c r="A49" s="6" t="s">
        <v>38</v>
      </c>
      <c r="B49" s="7">
        <v>4.8447202137443881</v>
      </c>
      <c r="C49" s="7">
        <v>3.9446258942413368</v>
      </c>
      <c r="D49" s="7">
        <v>3.5568131264392058</v>
      </c>
      <c r="E49" s="7">
        <v>3.7326493473139455</v>
      </c>
      <c r="F49" s="7">
        <v>3.6313735830724885</v>
      </c>
      <c r="G49" s="7">
        <v>3.7912451262910012</v>
      </c>
      <c r="H49" s="7">
        <v>2.9935212803830882</v>
      </c>
      <c r="I49" s="7">
        <v>3.1889675439099165</v>
      </c>
      <c r="J49" s="7">
        <v>3.2084957219740646</v>
      </c>
      <c r="K49" s="7">
        <v>3.2673181436105834</v>
      </c>
      <c r="L49" s="7">
        <v>3.6190756393721943</v>
      </c>
      <c r="M49" s="7">
        <v>3.4315590807867098</v>
      </c>
      <c r="N49" s="7">
        <v>3.4994559566433616</v>
      </c>
      <c r="O49" s="7">
        <v>3.6184676854087177</v>
      </c>
      <c r="P49" s="7">
        <v>3.4091452852330653</v>
      </c>
      <c r="Q49" s="7">
        <v>3.4387632473898435</v>
      </c>
      <c r="R49" s="7">
        <v>3.3121309511873838</v>
      </c>
      <c r="S49" s="7">
        <v>3.2264056639408323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</row>
    <row r="50" spans="1:206" ht="14.25" customHeight="1">
      <c r="A50" s="6" t="s">
        <v>39</v>
      </c>
      <c r="B50" s="7">
        <v>6.9395189956150531</v>
      </c>
      <c r="C50" s="7">
        <v>7.4285770474706556</v>
      </c>
      <c r="D50" s="7">
        <v>7.8178379674592655</v>
      </c>
      <c r="E50" s="7">
        <v>7.6457131598279009</v>
      </c>
      <c r="F50" s="7">
        <v>7.4674016944323585</v>
      </c>
      <c r="G50" s="7">
        <v>7.2663534795347431</v>
      </c>
      <c r="H50" s="7">
        <v>7.7854377271186186</v>
      </c>
      <c r="I50" s="7">
        <v>7.7771626046353655</v>
      </c>
      <c r="J50" s="7">
        <v>6.7588094378030235</v>
      </c>
      <c r="K50" s="7">
        <v>7.3219030413007768</v>
      </c>
      <c r="L50" s="7">
        <v>7.2875802405774266</v>
      </c>
      <c r="M50" s="7">
        <v>7.8258874009818458</v>
      </c>
      <c r="N50" s="7">
        <v>8.5502649324442697</v>
      </c>
      <c r="O50" s="7">
        <v>8.0775122328332607</v>
      </c>
      <c r="P50" s="7">
        <v>7.6890153822698188</v>
      </c>
      <c r="Q50" s="7">
        <v>7.2845761538988807</v>
      </c>
      <c r="R50" s="7">
        <v>6.8160547712891582</v>
      </c>
      <c r="S50" s="7">
        <v>6.7421936614625544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</row>
    <row r="51" spans="1:206" ht="14.25" customHeight="1">
      <c r="A51" s="6" t="s">
        <v>40</v>
      </c>
      <c r="B51" s="7">
        <v>2.0656266799342839</v>
      </c>
      <c r="C51" s="7">
        <v>1.9135087045017505</v>
      </c>
      <c r="D51" s="7">
        <v>1.8483267300708484</v>
      </c>
      <c r="E51" s="7">
        <v>2.3964504067102608</v>
      </c>
      <c r="F51" s="7">
        <v>2.1122773894588791</v>
      </c>
      <c r="G51" s="7">
        <v>2.4170570966121434</v>
      </c>
      <c r="H51" s="7">
        <v>3.6396105571018431</v>
      </c>
      <c r="I51" s="7">
        <v>3.0455874290063694</v>
      </c>
      <c r="J51" s="7">
        <v>2.450365832283635</v>
      </c>
      <c r="K51" s="7">
        <v>2.5730255252727487</v>
      </c>
      <c r="L51" s="7">
        <v>2.2634477860641269</v>
      </c>
      <c r="M51" s="7">
        <v>2.9038298040831476</v>
      </c>
      <c r="N51" s="7">
        <v>2.822829403545692</v>
      </c>
      <c r="O51" s="7">
        <v>2.8896913754669784</v>
      </c>
      <c r="P51" s="7">
        <v>3.1052563991835993</v>
      </c>
      <c r="Q51" s="7">
        <v>3.1942695655496456</v>
      </c>
      <c r="R51" s="7">
        <v>2.932670064872366</v>
      </c>
      <c r="S51" s="7">
        <v>3.6118243758054405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</row>
    <row r="52" spans="1:206" ht="14.25" customHeight="1">
      <c r="A52" s="6" t="s">
        <v>41</v>
      </c>
      <c r="B52" s="7">
        <v>3.7567132858030448</v>
      </c>
      <c r="C52" s="7">
        <v>3.6523132894538159</v>
      </c>
      <c r="D52" s="7">
        <v>3.4196271447633007</v>
      </c>
      <c r="E52" s="7">
        <v>3.4643398825316134</v>
      </c>
      <c r="F52" s="7">
        <v>3.485719587767794</v>
      </c>
      <c r="G52" s="7">
        <v>3.4904571595137184</v>
      </c>
      <c r="H52" s="7">
        <v>3.5190900092719453</v>
      </c>
      <c r="I52" s="7">
        <v>3.7518183217225429</v>
      </c>
      <c r="J52" s="7">
        <v>3.3479977554536586</v>
      </c>
      <c r="K52" s="7">
        <v>3.3701343041904015</v>
      </c>
      <c r="L52" s="7">
        <v>3.3811364484891269</v>
      </c>
      <c r="M52" s="7">
        <v>3.3259955526666776</v>
      </c>
      <c r="N52" s="7">
        <v>3.4340204339769005</v>
      </c>
      <c r="O52" s="7">
        <v>3.3014463127659441</v>
      </c>
      <c r="P52" s="7">
        <v>3.2561924705478642</v>
      </c>
      <c r="Q52" s="7">
        <v>3.4224363764473908</v>
      </c>
      <c r="R52" s="7">
        <v>2.9145149887598802</v>
      </c>
      <c r="S52" s="7">
        <v>3.1155889126714831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</row>
    <row r="53" spans="1:206" ht="14.25" customHeight="1">
      <c r="A53" s="6" t="s">
        <v>42</v>
      </c>
      <c r="B53" s="7">
        <v>1.6946492909071329</v>
      </c>
      <c r="C53" s="7">
        <v>1.7054332401757886</v>
      </c>
      <c r="D53" s="7">
        <v>1.6221197126121252</v>
      </c>
      <c r="E53" s="7">
        <v>2.1669409404549111</v>
      </c>
      <c r="F53" s="7">
        <v>1.9729388665069478</v>
      </c>
      <c r="G53" s="7">
        <v>2.4369694273940707</v>
      </c>
      <c r="H53" s="7">
        <v>3.4038558964909038</v>
      </c>
      <c r="I53" s="7">
        <v>2.5181382428316414</v>
      </c>
      <c r="J53" s="7">
        <v>1.7479463142539911</v>
      </c>
      <c r="K53" s="7">
        <v>1.8290679168508011</v>
      </c>
      <c r="L53" s="7">
        <v>1.7279234656332436</v>
      </c>
      <c r="M53" s="7">
        <v>2.0093728786108023</v>
      </c>
      <c r="N53" s="7">
        <v>1.6846249928896797</v>
      </c>
      <c r="O53" s="7">
        <v>1.8487346198745485</v>
      </c>
      <c r="P53" s="7">
        <v>1.9202490190725601</v>
      </c>
      <c r="Q53" s="7">
        <v>2.0015433188220735</v>
      </c>
      <c r="R53" s="7">
        <v>2.0651766313783506</v>
      </c>
      <c r="S53" s="7">
        <v>2.851434805684435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</row>
    <row r="54" spans="1:206" ht="14.25" customHeight="1">
      <c r="A54" s="6" t="s">
        <v>43</v>
      </c>
      <c r="B54" s="7">
        <v>1.0456987382628851</v>
      </c>
      <c r="C54" s="7">
        <v>1.2114843692019461</v>
      </c>
      <c r="D54" s="7">
        <v>1.2129347936868167</v>
      </c>
      <c r="E54" s="7">
        <v>1.3702680536126217</v>
      </c>
      <c r="F54" s="7">
        <v>1.3527605274044123</v>
      </c>
      <c r="G54" s="7">
        <v>1.3402554073616679</v>
      </c>
      <c r="H54" s="7">
        <v>1.58524106770748</v>
      </c>
      <c r="I54" s="7">
        <v>1.5551666008815126</v>
      </c>
      <c r="J54" s="7">
        <v>1.2229987169033141</v>
      </c>
      <c r="K54" s="7">
        <v>1.3904568523069138</v>
      </c>
      <c r="L54" s="7">
        <v>1.2208342482901724</v>
      </c>
      <c r="M54" s="7">
        <v>1.4204225797789283</v>
      </c>
      <c r="N54" s="7">
        <v>1.1924468859345692</v>
      </c>
      <c r="O54" s="7">
        <v>1.1281877662845263</v>
      </c>
      <c r="P54" s="7">
        <v>1.2722712159627998</v>
      </c>
      <c r="Q54" s="7">
        <v>1.2124979051417619</v>
      </c>
      <c r="R54" s="7">
        <v>1.2101862622699668</v>
      </c>
      <c r="S54" s="7">
        <v>1.2210803483063102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</row>
    <row r="55" spans="1:206" ht="14.25" customHeight="1">
      <c r="A55" s="6" t="s">
        <v>44</v>
      </c>
      <c r="B55" s="7">
        <v>2.9170107033250554</v>
      </c>
      <c r="C55" s="7">
        <v>2.3274636416239023</v>
      </c>
      <c r="D55" s="7">
        <v>2.1411771910192612</v>
      </c>
      <c r="E55" s="7">
        <v>2.3254606185264208</v>
      </c>
      <c r="F55" s="7">
        <v>2.2805900695995938</v>
      </c>
      <c r="G55" s="7">
        <v>2.2085901277772915</v>
      </c>
      <c r="H55" s="7">
        <v>2.3034598959675483</v>
      </c>
      <c r="I55" s="7">
        <v>2.4684372420527523</v>
      </c>
      <c r="J55" s="7">
        <v>2.2601582029400626</v>
      </c>
      <c r="K55" s="7">
        <v>2.4753292904316817</v>
      </c>
      <c r="L55" s="7">
        <v>2.2520461604236717</v>
      </c>
      <c r="M55" s="7">
        <v>2.5637738457115979</v>
      </c>
      <c r="N55" s="7">
        <v>2.310938760856839</v>
      </c>
      <c r="O55" s="7">
        <v>2.3431924545780269</v>
      </c>
      <c r="P55" s="7">
        <v>2.1668493887341205</v>
      </c>
      <c r="Q55" s="7">
        <v>2.6697604014756395</v>
      </c>
      <c r="R55" s="7">
        <v>3.0135085723488371</v>
      </c>
      <c r="S55" s="7">
        <v>2.4074868277616353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</row>
    <row r="56" spans="1:206" ht="14.25" customHeight="1">
      <c r="A56" s="6" t="s">
        <v>45</v>
      </c>
      <c r="B56" s="7">
        <v>0.38876176656926054</v>
      </c>
      <c r="C56" s="7">
        <v>0.38723819997988479</v>
      </c>
      <c r="D56" s="7">
        <v>0.32850531793281401</v>
      </c>
      <c r="E56" s="7">
        <v>0.33613041872441907</v>
      </c>
      <c r="F56" s="7">
        <v>0.35218432824773971</v>
      </c>
      <c r="G56" s="7">
        <v>0.38060851682234181</v>
      </c>
      <c r="H56" s="7">
        <v>0.37224170674358997</v>
      </c>
      <c r="I56" s="7">
        <v>0.3419598084163798</v>
      </c>
      <c r="J56" s="7">
        <v>0.28368355665404249</v>
      </c>
      <c r="K56" s="7">
        <v>0.30496801272544471</v>
      </c>
      <c r="L56" s="7">
        <v>0.3607706342303984</v>
      </c>
      <c r="M56" s="7">
        <v>0.29350213421592342</v>
      </c>
      <c r="N56" s="7">
        <v>0.47179334047989779</v>
      </c>
      <c r="O56" s="7">
        <v>0.31065076806779918</v>
      </c>
      <c r="P56" s="7">
        <v>0.28715499756188911</v>
      </c>
      <c r="Q56" s="7">
        <v>0.32516576851988643</v>
      </c>
      <c r="R56" s="7">
        <v>0.28202875093331436</v>
      </c>
      <c r="S56" s="7">
        <v>0.28857937963353097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</row>
    <row r="57" spans="1:206" ht="14.25" customHeight="1">
      <c r="A57" s="6" t="s">
        <v>46</v>
      </c>
      <c r="B57" s="7">
        <v>0.95217643757449144</v>
      </c>
      <c r="C57" s="7">
        <v>0.97120215075510619</v>
      </c>
      <c r="D57" s="7">
        <v>0.88916160386504961</v>
      </c>
      <c r="E57" s="7">
        <v>1.0080423006769665</v>
      </c>
      <c r="F57" s="7">
        <v>0.90254865678670759</v>
      </c>
      <c r="G57" s="7">
        <v>0.90452961740111193</v>
      </c>
      <c r="H57" s="7">
        <v>1.1329918193967159</v>
      </c>
      <c r="I57" s="7">
        <v>1.1022474822354784</v>
      </c>
      <c r="J57" s="7">
        <v>0.87113800867196378</v>
      </c>
      <c r="K57" s="7">
        <v>0.85911389311619202</v>
      </c>
      <c r="L57" s="7">
        <v>0.86105292604393113</v>
      </c>
      <c r="M57" s="7">
        <v>0.78538044586364042</v>
      </c>
      <c r="N57" s="7">
        <v>0.82887407989235429</v>
      </c>
      <c r="O57" s="7">
        <v>0.99306405566532086</v>
      </c>
      <c r="P57" s="7">
        <v>0.95571515931918893</v>
      </c>
      <c r="Q57" s="7">
        <v>0.83251277638632382</v>
      </c>
      <c r="R57" s="7">
        <v>0.8572019364507969</v>
      </c>
      <c r="S57" s="7">
        <v>0.8740268047637193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</row>
    <row r="58" spans="1:206" ht="14.25" customHeight="1">
      <c r="A58" s="6" t="s">
        <v>47</v>
      </c>
      <c r="B58" s="7">
        <v>0.8085454274370929</v>
      </c>
      <c r="C58" s="7">
        <v>0.63674647576252552</v>
      </c>
      <c r="D58" s="7">
        <v>0.65381481822581644</v>
      </c>
      <c r="E58" s="7">
        <v>0.6610506818931805</v>
      </c>
      <c r="F58" s="7">
        <v>0.77407063463219317</v>
      </c>
      <c r="G58" s="7">
        <v>0.66851628090083259</v>
      </c>
      <c r="H58" s="7">
        <v>0.56792429892925567</v>
      </c>
      <c r="I58" s="7">
        <v>0.6079672977749665</v>
      </c>
      <c r="J58" s="7">
        <v>0.57808085254702124</v>
      </c>
      <c r="K58" s="7">
        <v>0.51617803485874036</v>
      </c>
      <c r="L58" s="7">
        <v>0.5009163067987179</v>
      </c>
      <c r="M58" s="7">
        <v>0.6047150170694251</v>
      </c>
      <c r="N58" s="7">
        <v>0.60610292530531873</v>
      </c>
      <c r="O58" s="7">
        <v>0.52669826294670208</v>
      </c>
      <c r="P58" s="7">
        <v>0.50911931538596245</v>
      </c>
      <c r="Q58" s="7">
        <v>0.73566471090439101</v>
      </c>
      <c r="R58" s="7">
        <v>0.5632148135830527</v>
      </c>
      <c r="S58" s="7">
        <v>0.57540496813067721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</row>
    <row r="59" spans="1:206" ht="14.25" customHeight="1">
      <c r="A59" s="6" t="s">
        <v>48</v>
      </c>
      <c r="B59" s="7">
        <v>1.1689423848210871</v>
      </c>
      <c r="C59" s="7">
        <v>0.99662881987075713</v>
      </c>
      <c r="D59" s="7">
        <v>1.0119256221307797</v>
      </c>
      <c r="E59" s="7">
        <v>1.0610301318904705</v>
      </c>
      <c r="F59" s="7">
        <v>1.292467553588013</v>
      </c>
      <c r="G59" s="7">
        <v>1.195602580862865</v>
      </c>
      <c r="H59" s="7">
        <v>0.84848802080396468</v>
      </c>
      <c r="I59" s="7">
        <v>0.80730169269143237</v>
      </c>
      <c r="J59" s="7">
        <v>1.0128127074304316</v>
      </c>
      <c r="K59" s="7">
        <v>0.97720409813165998</v>
      </c>
      <c r="L59" s="7">
        <v>1.0992336035560781</v>
      </c>
      <c r="M59" s="7">
        <v>0.81753072322873743</v>
      </c>
      <c r="N59" s="7">
        <v>1.0168613208820532</v>
      </c>
      <c r="O59" s="7">
        <v>1.07292140718742</v>
      </c>
      <c r="P59" s="7">
        <v>1.0523949046303649</v>
      </c>
      <c r="Q59" s="7">
        <v>1.2208471297325327</v>
      </c>
      <c r="R59" s="7">
        <v>3.5148307255263855</v>
      </c>
      <c r="S59" s="7">
        <v>2.781048224011708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</row>
    <row r="60" spans="1:206" ht="14.25" customHeight="1">
      <c r="A60" s="6" t="s">
        <v>49</v>
      </c>
      <c r="B60" s="7">
        <v>8.4615943423925373</v>
      </c>
      <c r="C60" s="7">
        <v>8.9904865261590903</v>
      </c>
      <c r="D60" s="7">
        <v>7.8410968558750511</v>
      </c>
      <c r="E60" s="7">
        <v>7.8753201390386858</v>
      </c>
      <c r="F60" s="7">
        <v>8.4081757359283777</v>
      </c>
      <c r="G60" s="7">
        <v>7.5616950994097474</v>
      </c>
      <c r="H60" s="7">
        <v>8.9574546994641526</v>
      </c>
      <c r="I60" s="7">
        <v>8.7644691576175138</v>
      </c>
      <c r="J60" s="7">
        <v>9.6375020015654087</v>
      </c>
      <c r="K60" s="7">
        <v>8.2994512520750767</v>
      </c>
      <c r="L60" s="7">
        <v>8.910464687183298</v>
      </c>
      <c r="M60" s="7">
        <v>12.207842626198422</v>
      </c>
      <c r="N60" s="7">
        <v>11.364964337190479</v>
      </c>
      <c r="O60" s="7">
        <v>8.785714027515013</v>
      </c>
      <c r="P60" s="7">
        <v>6.6494629954300191</v>
      </c>
      <c r="Q60" s="7">
        <v>7.978506940123423</v>
      </c>
      <c r="R60" s="7">
        <v>6.9487310498024968</v>
      </c>
      <c r="S60" s="7">
        <v>8.8061459004434894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</row>
    <row r="61" spans="1:206" ht="14.2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</row>
    <row r="62" spans="1:20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</row>
    <row r="63" spans="1:20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</row>
    <row r="64" spans="1:20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</row>
    <row r="65" spans="1:20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</row>
    <row r="66" spans="1:20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</row>
    <row r="67" spans="1:20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</row>
    <row r="68" spans="1:20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</row>
    <row r="69" spans="1:20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</row>
    <row r="70" spans="1:20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</row>
    <row r="71" spans="1:20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</row>
    <row r="72" spans="1:20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</row>
    <row r="73" spans="1:20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</row>
    <row r="74" spans="1:20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</row>
    <row r="75" spans="1:20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</row>
    <row r="76" spans="1:20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</row>
    <row r="77" spans="1:20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</row>
    <row r="78" spans="1:20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</row>
    <row r="79" spans="1:20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</row>
    <row r="80" spans="1:20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</row>
    <row r="81" spans="1:20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</row>
    <row r="82" spans="1:20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</row>
    <row r="83" spans="1:20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</row>
    <row r="84" spans="1:20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</row>
    <row r="85" spans="1:20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</row>
    <row r="86" spans="1:20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</row>
    <row r="87" spans="1:20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</row>
    <row r="88" spans="1:20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</row>
    <row r="89" spans="1:20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</row>
    <row r="90" spans="1:20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</row>
    <row r="91" spans="1:20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</row>
    <row r="92" spans="1:20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</row>
    <row r="93" spans="1:20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</row>
    <row r="94" spans="1:20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</row>
    <row r="95" spans="1:20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</row>
    <row r="96" spans="1:20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</row>
    <row r="97" spans="1:20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</row>
    <row r="98" spans="1:20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</row>
    <row r="99" spans="1:20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</row>
    <row r="100" spans="1:20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</row>
    <row r="101" spans="1:20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</row>
    <row r="102" spans="1:20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</row>
    <row r="103" spans="1:20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</row>
    <row r="104" spans="1:20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</row>
    <row r="105" spans="1:20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</row>
    <row r="106" spans="1:2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</row>
    <row r="107" spans="1:20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</row>
    <row r="108" spans="1:20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</row>
    <row r="109" spans="1:20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</row>
    <row r="110" spans="1:20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</row>
    <row r="111" spans="1:20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</row>
    <row r="112" spans="1:20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</row>
    <row r="113" spans="1:20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</row>
    <row r="114" spans="1:20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</row>
    <row r="115" spans="1:20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</row>
    <row r="116" spans="1:20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</row>
    <row r="117" spans="1:20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</row>
    <row r="118" spans="1:20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</row>
    <row r="119" spans="1:20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</row>
    <row r="120" spans="1:20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</row>
    <row r="121" spans="1:20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</row>
    <row r="122" spans="1:20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</row>
    <row r="123" spans="1:20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</row>
    <row r="124" spans="1:20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</row>
    <row r="125" spans="1:20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</row>
    <row r="126" spans="1:20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</row>
    <row r="127" spans="1:20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</row>
    <row r="128" spans="1:20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</row>
    <row r="129" spans="1:20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</row>
    <row r="130" spans="1:20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</row>
    <row r="131" spans="1:20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</row>
    <row r="132" spans="1:20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</row>
    <row r="133" spans="1:20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</row>
    <row r="134" spans="1:20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</row>
    <row r="135" spans="1:20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</row>
    <row r="136" spans="1:20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</row>
    <row r="137" spans="1:20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</row>
    <row r="138" spans="1:20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</row>
    <row r="139" spans="1:20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</row>
    <row r="140" spans="1:20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</row>
    <row r="141" spans="1:20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</row>
    <row r="142" spans="1:20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</row>
    <row r="143" spans="1:20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</row>
    <row r="144" spans="1:20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</row>
    <row r="145" spans="1:20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</row>
    <row r="146" spans="1:20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</row>
    <row r="147" spans="1:20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</row>
    <row r="148" spans="1:20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</row>
    <row r="149" spans="1:20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</row>
    <row r="150" spans="1:20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</row>
    <row r="151" spans="1:20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</row>
    <row r="152" spans="1:20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</row>
    <row r="153" spans="1:20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</row>
    <row r="154" spans="1:20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</row>
    <row r="155" spans="1:20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</row>
    <row r="156" spans="1:20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</row>
    <row r="157" spans="1:20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</row>
    <row r="158" spans="1:20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</row>
    <row r="159" spans="1:20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</row>
    <row r="160" spans="1:20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</row>
    <row r="161" spans="1:20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</row>
    <row r="162" spans="1:20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</row>
    <row r="163" spans="1:20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</row>
    <row r="164" spans="1:20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</row>
    <row r="165" spans="1:20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</row>
    <row r="166" spans="1:20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</row>
    <row r="167" spans="1:20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</row>
    <row r="168" spans="1:20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</row>
    <row r="169" spans="1:20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</row>
    <row r="170" spans="1:20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</row>
    <row r="171" spans="1:20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</row>
    <row r="172" spans="1:20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</row>
    <row r="173" spans="1:20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</row>
    <row r="174" spans="1:20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</row>
    <row r="175" spans="1:20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</row>
    <row r="176" spans="1:20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</row>
    <row r="177" spans="1:20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</row>
    <row r="178" spans="1:20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</row>
    <row r="179" spans="1:20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</row>
    <row r="180" spans="1:20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</row>
    <row r="181" spans="1:20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</row>
    <row r="182" spans="1:20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</row>
    <row r="183" spans="1:20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</row>
    <row r="184" spans="1:20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</row>
    <row r="185" spans="1:20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</row>
    <row r="186" spans="1:20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</row>
    <row r="187" spans="1:20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</row>
    <row r="188" spans="1:20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</row>
    <row r="189" spans="1:20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</row>
    <row r="190" spans="1:20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</row>
    <row r="191" spans="1:20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</row>
    <row r="192" spans="1:20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</row>
    <row r="193" spans="1:20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</row>
    <row r="194" spans="1:20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</row>
    <row r="195" spans="1:20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</row>
    <row r="196" spans="1:20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</row>
    <row r="197" spans="1:20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</row>
    <row r="198" spans="1:20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</row>
    <row r="199" spans="1:20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</row>
    <row r="200" spans="1:20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</row>
    <row r="201" spans="1:20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</row>
    <row r="202" spans="1:20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</row>
    <row r="203" spans="1:20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</row>
    <row r="204" spans="1:20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</row>
    <row r="205" spans="1:20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</row>
    <row r="206" spans="1: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</row>
    <row r="207" spans="1:20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</row>
    <row r="208" spans="1:20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</row>
    <row r="209" spans="1:20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</row>
    <row r="210" spans="1:20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</row>
    <row r="211" spans="1:20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</row>
    <row r="212" spans="1:20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</row>
    <row r="213" spans="1:20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</row>
    <row r="214" spans="1:20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</row>
    <row r="215" spans="1:20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</row>
    <row r="216" spans="1:20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</row>
    <row r="217" spans="1:20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</row>
    <row r="218" spans="1:20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</row>
    <row r="219" spans="1:20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</row>
    <row r="220" spans="1:20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</row>
    <row r="221" spans="1:20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</row>
    <row r="222" spans="1:20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</row>
    <row r="223" spans="1:20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</row>
    <row r="224" spans="1:20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</row>
    <row r="225" spans="1:20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</row>
    <row r="226" spans="1:20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</row>
    <row r="227" spans="1:20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</row>
    <row r="228" spans="1:20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</row>
    <row r="229" spans="1:20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</row>
    <row r="230" spans="1:20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</row>
    <row r="231" spans="1:20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</row>
    <row r="232" spans="1:20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</row>
    <row r="233" spans="1:20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</row>
    <row r="234" spans="1:20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</row>
    <row r="235" spans="1:20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</row>
    <row r="236" spans="1:20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</row>
    <row r="237" spans="1:20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</row>
    <row r="238" spans="1:20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</row>
    <row r="239" spans="1:20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</row>
    <row r="240" spans="1:20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</row>
    <row r="241" spans="1:20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</row>
    <row r="242" spans="1:20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</row>
    <row r="243" spans="1:20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</row>
    <row r="244" spans="1:20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</row>
    <row r="245" spans="1:20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</row>
    <row r="246" spans="1:20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</row>
    <row r="247" spans="1:20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</row>
    <row r="248" spans="1:20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</row>
    <row r="249" spans="1:20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</row>
    <row r="250" spans="1:20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</row>
    <row r="251" spans="1:20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</row>
    <row r="252" spans="1:20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</row>
    <row r="253" spans="1:20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</row>
    <row r="254" spans="1:20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</row>
    <row r="255" spans="1:20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</row>
    <row r="256" spans="1:20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</row>
    <row r="257" spans="1:20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</row>
    <row r="258" spans="1:20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</row>
    <row r="259" spans="1:20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</row>
    <row r="260" spans="1:20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</row>
    <row r="261" spans="1:20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</row>
    <row r="262" spans="1:20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</row>
    <row r="263" spans="1:20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</row>
    <row r="264" spans="1:20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</row>
    <row r="265" spans="1:20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</row>
    <row r="266" spans="1:20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</row>
    <row r="267" spans="1:20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</row>
    <row r="268" spans="1:20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</row>
    <row r="269" spans="1:20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</row>
    <row r="270" spans="1:20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</row>
    <row r="271" spans="1:20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</row>
    <row r="272" spans="1:20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</row>
    <row r="273" spans="1:20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</row>
    <row r="274" spans="1:20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</row>
    <row r="275" spans="1:20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</row>
    <row r="276" spans="1:20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</row>
    <row r="277" spans="1:20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</row>
    <row r="278" spans="1:20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</row>
    <row r="279" spans="1:20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</row>
    <row r="280" spans="1:20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</row>
    <row r="281" spans="1:20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</row>
    <row r="282" spans="1:20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</row>
    <row r="283" spans="1:20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</row>
    <row r="284" spans="1:20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</row>
    <row r="285" spans="1:20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</row>
    <row r="286" spans="1:20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</row>
    <row r="287" spans="1:20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</row>
    <row r="288" spans="1:20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</row>
    <row r="289" spans="1:20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</row>
    <row r="290" spans="1:20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</row>
    <row r="291" spans="1:20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</row>
    <row r="292" spans="1:20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</row>
    <row r="293" spans="1:20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</row>
    <row r="294" spans="1:20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</row>
    <row r="295" spans="1:20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</row>
    <row r="296" spans="1:20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</row>
    <row r="297" spans="1:20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</row>
    <row r="298" spans="1:20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</row>
    <row r="299" spans="1:20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</row>
    <row r="300" spans="1:20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</row>
    <row r="301" spans="1:20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</row>
    <row r="302" spans="1:20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</row>
    <row r="303" spans="1:20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</row>
    <row r="304" spans="1:20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</row>
    <row r="305" spans="1:20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</row>
    <row r="306" spans="1:2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</row>
    <row r="307" spans="1:20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</row>
    <row r="308" spans="1:20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</row>
    <row r="309" spans="1:20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</row>
    <row r="310" spans="1:20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</row>
    <row r="311" spans="1:20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</row>
    <row r="312" spans="1:20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</row>
    <row r="313" spans="1:20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</row>
    <row r="314" spans="1:20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</row>
    <row r="315" spans="1:20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</row>
    <row r="316" spans="1:20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</row>
    <row r="317" spans="1:20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</row>
    <row r="318" spans="1:20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</row>
    <row r="319" spans="1:20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</row>
    <row r="320" spans="1:20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</row>
    <row r="321" spans="1:20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</row>
    <row r="322" spans="1:20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</row>
    <row r="323" spans="1:20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</row>
    <row r="324" spans="1:20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</row>
    <row r="325" spans="1:20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</row>
    <row r="326" spans="1:20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</row>
    <row r="327" spans="1:20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</row>
    <row r="328" spans="1:20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</row>
    <row r="329" spans="1:20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</row>
    <row r="330" spans="1:20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</row>
    <row r="331" spans="1:20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</row>
    <row r="332" spans="1:20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</row>
    <row r="333" spans="1:20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</row>
    <row r="334" spans="1:20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</row>
    <row r="335" spans="1:20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</row>
    <row r="336" spans="1:20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</row>
    <row r="337" spans="1:20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</row>
    <row r="338" spans="1:20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</row>
    <row r="339" spans="1:20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</row>
    <row r="340" spans="1:20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</row>
    <row r="341" spans="1:20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</row>
    <row r="342" spans="1:20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</row>
    <row r="343" spans="1:20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</row>
    <row r="344" spans="1:20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</row>
    <row r="345" spans="1:20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</row>
    <row r="346" spans="1:20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</row>
    <row r="347" spans="1:20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</row>
    <row r="348" spans="1:20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</row>
    <row r="349" spans="1:20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</row>
    <row r="350" spans="1:20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</row>
    <row r="351" spans="1:20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</row>
    <row r="352" spans="1:20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</row>
    <row r="353" spans="1:20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</row>
    <row r="354" spans="1:20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</row>
    <row r="355" spans="1:20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</row>
    <row r="356" spans="1:20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</row>
    <row r="357" spans="1:20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</row>
    <row r="358" spans="1:20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</row>
    <row r="359" spans="1:20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</row>
    <row r="360" spans="1:20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</row>
    <row r="361" spans="1:20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</row>
    <row r="362" spans="1:20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</row>
    <row r="363" spans="1:20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</row>
    <row r="364" spans="1:20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</row>
    <row r="365" spans="1:20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</row>
    <row r="366" spans="1:20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</row>
    <row r="367" spans="1:20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</row>
    <row r="368" spans="1:20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</row>
    <row r="369" spans="1:20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</row>
    <row r="370" spans="1:20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</row>
    <row r="371" spans="1:20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</row>
    <row r="372" spans="1:20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</row>
    <row r="373" spans="1:20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</row>
    <row r="374" spans="1:20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</row>
    <row r="375" spans="1:20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</row>
    <row r="376" spans="1:20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</row>
    <row r="377" spans="1:20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</row>
    <row r="378" spans="1:20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</row>
    <row r="379" spans="1:20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</row>
    <row r="380" spans="1:20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</row>
    <row r="381" spans="1:20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</row>
    <row r="382" spans="1:20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</row>
    <row r="383" spans="1:20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</row>
    <row r="384" spans="1:20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</row>
    <row r="385" spans="1:20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</row>
    <row r="386" spans="1:20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</row>
    <row r="387" spans="1:20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</row>
    <row r="388" spans="1:20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</row>
    <row r="389" spans="1:20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</row>
    <row r="390" spans="1:20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</row>
    <row r="391" spans="1:20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</row>
    <row r="392" spans="1:20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</row>
    <row r="393" spans="1:20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</row>
    <row r="394" spans="1:20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</row>
    <row r="395" spans="1:20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</row>
    <row r="396" spans="1:20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</row>
    <row r="397" spans="1:20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</row>
    <row r="398" spans="1:20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</row>
    <row r="399" spans="1:20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</row>
    <row r="400" spans="1:20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</row>
    <row r="401" spans="1:20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</row>
    <row r="402" spans="1:20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</row>
    <row r="403" spans="1:20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</row>
    <row r="404" spans="1:20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</row>
    <row r="405" spans="1:20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</row>
    <row r="406" spans="1:2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</row>
    <row r="407" spans="1:20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</row>
    <row r="408" spans="1:20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</row>
    <row r="409" spans="1:20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</row>
    <row r="410" spans="1:20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</row>
    <row r="411" spans="1:20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</row>
    <row r="412" spans="1:20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</row>
    <row r="413" spans="1:20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</row>
    <row r="414" spans="1:20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</row>
    <row r="415" spans="1:20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</row>
    <row r="416" spans="1:20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</row>
    <row r="417" spans="1:20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</row>
    <row r="418" spans="1:20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</row>
    <row r="419" spans="1:20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</row>
    <row r="420" spans="1:20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</row>
    <row r="421" spans="1:20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</row>
    <row r="422" spans="1:20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</row>
    <row r="423" spans="1:20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</row>
    <row r="424" spans="1:20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</row>
    <row r="425" spans="1:20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</row>
    <row r="426" spans="1:20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</row>
    <row r="427" spans="1:20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</row>
    <row r="428" spans="1:20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</row>
    <row r="429" spans="1:20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</row>
    <row r="430" spans="1:20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</row>
    <row r="431" spans="1:20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</row>
    <row r="432" spans="1:20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</row>
    <row r="433" spans="1:20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</row>
    <row r="434" spans="1:20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</row>
    <row r="435" spans="1:20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</row>
    <row r="436" spans="1:20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</row>
    <row r="437" spans="1:20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</row>
    <row r="438" spans="1:20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</row>
    <row r="439" spans="1:20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</row>
    <row r="440" spans="1:20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</row>
    <row r="441" spans="1:20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</row>
    <row r="442" spans="1:20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</row>
    <row r="443" spans="1:20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</row>
    <row r="444" spans="1:20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</row>
    <row r="445" spans="1:20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</row>
    <row r="446" spans="1:20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</row>
    <row r="447" spans="1:20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</row>
    <row r="448" spans="1:20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</row>
    <row r="449" spans="1:20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</row>
    <row r="450" spans="1:20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</row>
    <row r="451" spans="1:20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</row>
    <row r="452" spans="1:20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</row>
    <row r="453" spans="1:20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</row>
    <row r="454" spans="1:20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</row>
    <row r="455" spans="1:20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</row>
    <row r="456" spans="1:20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</row>
    <row r="457" spans="1:20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</row>
    <row r="458" spans="1:20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</row>
    <row r="459" spans="1:20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</row>
    <row r="460" spans="1:20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</row>
    <row r="461" spans="1:20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</row>
    <row r="462" spans="1:20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</row>
    <row r="463" spans="1:20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</row>
    <row r="464" spans="1:20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</row>
    <row r="465" spans="1:20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</row>
    <row r="466" spans="1:20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</row>
    <row r="467" spans="1:20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</row>
    <row r="468" spans="1:20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</row>
    <row r="469" spans="1:20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</row>
    <row r="470" spans="1:20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</row>
    <row r="471" spans="1:20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</row>
    <row r="472" spans="1:20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</row>
    <row r="473" spans="1:20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</row>
    <row r="474" spans="1:20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</row>
    <row r="475" spans="1:20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</row>
    <row r="476" spans="1:20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</row>
    <row r="477" spans="1:20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</row>
    <row r="478" spans="1:20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</row>
    <row r="479" spans="1:20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</row>
    <row r="480" spans="1:20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</row>
    <row r="481" spans="1:20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</row>
    <row r="482" spans="1:20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</row>
    <row r="483" spans="1:20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</row>
    <row r="484" spans="1:20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</row>
    <row r="485" spans="1:20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</row>
    <row r="486" spans="1:20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</row>
    <row r="487" spans="1:20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</row>
    <row r="488" spans="1:20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</row>
    <row r="489" spans="1:20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</row>
    <row r="490" spans="1:20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</row>
    <row r="491" spans="1:20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</row>
    <row r="492" spans="1:20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</row>
    <row r="493" spans="1:20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</row>
    <row r="494" spans="1:20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</row>
    <row r="495" spans="1:20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</row>
    <row r="496" spans="1:20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</row>
    <row r="497" spans="1:20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</row>
    <row r="498" spans="1:20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</row>
    <row r="499" spans="1:20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</row>
    <row r="500" spans="1:20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</row>
    <row r="501" spans="1:20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</row>
    <row r="502" spans="1:20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</row>
    <row r="503" spans="1:20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</row>
    <row r="504" spans="1:20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</row>
    <row r="505" spans="1:20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</row>
    <row r="506" spans="1:2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</row>
    <row r="507" spans="1:20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</row>
    <row r="508" spans="1:20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</row>
    <row r="509" spans="1:20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</row>
    <row r="510" spans="1:20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</row>
    <row r="511" spans="1:20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</row>
    <row r="512" spans="1:20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</row>
    <row r="513" spans="1:20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</row>
    <row r="514" spans="1:20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</row>
    <row r="515" spans="1:20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</row>
    <row r="516" spans="1:20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</row>
    <row r="517" spans="1:20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</row>
    <row r="518" spans="1:20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</row>
    <row r="519" spans="1:20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</row>
    <row r="520" spans="1:20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</row>
    <row r="521" spans="1:20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</row>
    <row r="522" spans="1:20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</row>
    <row r="523" spans="1:20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</row>
    <row r="524" spans="1:20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</row>
    <row r="525" spans="1:20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</row>
    <row r="526" spans="1:20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</row>
    <row r="527" spans="1:20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</row>
    <row r="528" spans="1:20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</row>
    <row r="529" spans="1:20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</row>
    <row r="530" spans="1:20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</row>
    <row r="531" spans="1:20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</row>
    <row r="532" spans="1:20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</row>
    <row r="533" spans="1:20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</row>
    <row r="534" spans="1:20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</row>
    <row r="535" spans="1:20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</row>
    <row r="536" spans="1:20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</row>
    <row r="537" spans="1:20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</row>
    <row r="538" spans="1:20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</row>
    <row r="539" spans="1:20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</row>
    <row r="540" spans="1:20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</row>
    <row r="541" spans="1:20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</row>
    <row r="542" spans="1:20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</row>
    <row r="543" spans="1:20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</row>
    <row r="544" spans="1:20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</row>
    <row r="545" spans="1:20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</row>
    <row r="546" spans="1:20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</row>
    <row r="547" spans="1:20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</row>
    <row r="548" spans="1:20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</row>
    <row r="549" spans="1:20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</row>
    <row r="550" spans="1:20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</row>
    <row r="551" spans="1:20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</row>
    <row r="552" spans="1:20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</row>
    <row r="553" spans="1:20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</row>
    <row r="554" spans="1:20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</row>
    <row r="555" spans="1:20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</row>
    <row r="556" spans="1:20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</row>
    <row r="557" spans="1:20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</row>
    <row r="558" spans="1:20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</row>
    <row r="559" spans="1:20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</row>
    <row r="560" spans="1:20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</row>
    <row r="561" spans="1:20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</row>
    <row r="562" spans="1:20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</row>
    <row r="563" spans="1:20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</row>
    <row r="564" spans="1:20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</row>
    <row r="565" spans="1:20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</row>
    <row r="566" spans="1:20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</row>
    <row r="567" spans="1:20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</row>
    <row r="568" spans="1:20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</row>
    <row r="569" spans="1:20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</row>
    <row r="570" spans="1:20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</row>
    <row r="571" spans="1:20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</row>
    <row r="572" spans="1:20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</row>
    <row r="573" spans="1:20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</row>
    <row r="574" spans="1:20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</row>
    <row r="575" spans="1:20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</row>
    <row r="576" spans="1:20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</row>
    <row r="577" spans="1:20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</row>
    <row r="578" spans="1:20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</row>
    <row r="579" spans="1:20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</row>
    <row r="580" spans="1:20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</row>
    <row r="581" spans="1:20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</row>
    <row r="582" spans="1:20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</row>
    <row r="583" spans="1:20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</row>
    <row r="584" spans="1:20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</row>
    <row r="585" spans="1:20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</row>
    <row r="586" spans="1:20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</row>
    <row r="587" spans="1:20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</row>
    <row r="588" spans="1:20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</row>
    <row r="589" spans="1:20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</row>
    <row r="590" spans="1:20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</row>
    <row r="591" spans="1:20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</row>
    <row r="592" spans="1:20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</row>
    <row r="593" spans="1:20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</row>
    <row r="594" spans="1:20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</row>
    <row r="595" spans="1:20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</row>
    <row r="596" spans="1:20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</row>
    <row r="597" spans="1:20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</row>
    <row r="598" spans="1:20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</row>
    <row r="599" spans="1:20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</row>
    <row r="600" spans="1:20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</row>
    <row r="601" spans="1:20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</row>
    <row r="602" spans="1:20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</row>
    <row r="603" spans="1:20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</row>
    <row r="604" spans="1:20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</row>
    <row r="605" spans="1:20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</row>
    <row r="606" spans="1:2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</row>
    <row r="607" spans="1:20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</row>
    <row r="608" spans="1:20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</row>
    <row r="609" spans="1:20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</row>
    <row r="610" spans="1:20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</row>
    <row r="611" spans="1:20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</row>
    <row r="612" spans="1:20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</row>
    <row r="613" spans="1:20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</row>
    <row r="614" spans="1:20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</row>
    <row r="615" spans="1:20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</row>
    <row r="616" spans="1:20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</row>
    <row r="617" spans="1:20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</row>
    <row r="618" spans="1:20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</row>
    <row r="619" spans="1:20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</row>
    <row r="620" spans="1:20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</row>
    <row r="621" spans="1:20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</row>
    <row r="622" spans="1:20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</row>
    <row r="623" spans="1:20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</row>
    <row r="624" spans="1:20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</row>
    <row r="625" spans="1:20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</row>
    <row r="626" spans="1:20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</row>
    <row r="627" spans="1:20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</row>
    <row r="628" spans="1:20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</row>
    <row r="629" spans="1:20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</row>
    <row r="630" spans="1:20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</row>
    <row r="631" spans="1:20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</row>
    <row r="632" spans="1:20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</row>
    <row r="633" spans="1:20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</row>
    <row r="634" spans="1:20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</row>
    <row r="635" spans="1:20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</row>
    <row r="636" spans="1:20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</row>
    <row r="637" spans="1:20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</row>
    <row r="638" spans="1:20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</row>
    <row r="639" spans="1:20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</row>
    <row r="640" spans="1:20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</row>
    <row r="641" spans="1:20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</row>
    <row r="642" spans="1:20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</row>
    <row r="643" spans="1:20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</row>
    <row r="644" spans="1:20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</row>
    <row r="645" spans="1:20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</row>
    <row r="646" spans="1:20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</row>
    <row r="647" spans="1:20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</row>
    <row r="648" spans="1:20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</row>
    <row r="649" spans="1:20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</row>
    <row r="650" spans="1:20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</row>
    <row r="651" spans="1:20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</row>
    <row r="652" spans="1:20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</row>
    <row r="653" spans="1:20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</row>
    <row r="654" spans="1:20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</row>
    <row r="655" spans="1:20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</row>
    <row r="656" spans="1:20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</row>
    <row r="657" spans="1:20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</row>
    <row r="658" spans="1:20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</row>
    <row r="659" spans="1:20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</row>
    <row r="660" spans="1:20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</row>
    <row r="661" spans="1:20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</row>
    <row r="662" spans="1:20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</row>
    <row r="663" spans="1:20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</row>
    <row r="664" spans="1:20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</row>
    <row r="665" spans="1:20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</row>
    <row r="666" spans="1:20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</row>
    <row r="667" spans="1:20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</row>
    <row r="668" spans="1:20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</row>
    <row r="669" spans="1:20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</row>
    <row r="670" spans="1:20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</row>
    <row r="671" spans="1:20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</row>
    <row r="672" spans="1:20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</row>
    <row r="673" spans="1:20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</row>
    <row r="674" spans="1:20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</row>
    <row r="675" spans="1:20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</row>
    <row r="676" spans="1:20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</row>
    <row r="677" spans="1:20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</row>
    <row r="678" spans="1:20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</row>
    <row r="679" spans="1:20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</row>
    <row r="680" spans="1:20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</row>
    <row r="681" spans="1:20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</row>
    <row r="682" spans="1:20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</row>
    <row r="683" spans="1:20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</row>
    <row r="684" spans="1:20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</row>
    <row r="685" spans="1:20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</row>
    <row r="686" spans="1:20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</row>
    <row r="687" spans="1:20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</row>
    <row r="688" spans="1:20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</row>
    <row r="689" spans="1:20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</row>
    <row r="690" spans="1:20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</row>
    <row r="691" spans="1:20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</row>
    <row r="692" spans="1:20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</row>
    <row r="693" spans="1:20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</row>
    <row r="694" spans="1:20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</row>
    <row r="695" spans="1:20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</row>
    <row r="696" spans="1:20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</row>
    <row r="697" spans="1:20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</row>
    <row r="698" spans="1:20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</row>
    <row r="699" spans="1:20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</row>
    <row r="700" spans="1:20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</row>
    <row r="701" spans="1:20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</row>
    <row r="702" spans="1:20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</row>
    <row r="703" spans="1:20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</row>
    <row r="704" spans="1:20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</row>
    <row r="705" spans="1:20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</row>
    <row r="706" spans="1:2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</row>
    <row r="707" spans="1:20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</row>
    <row r="708" spans="1:20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</row>
    <row r="709" spans="1:20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</row>
    <row r="710" spans="1:20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</row>
    <row r="711" spans="1:20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</row>
    <row r="712" spans="1:20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</row>
    <row r="713" spans="1:20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</row>
    <row r="714" spans="1:20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</row>
    <row r="715" spans="1:20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</row>
    <row r="716" spans="1:20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</row>
    <row r="717" spans="1:20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</row>
    <row r="718" spans="1:20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</row>
    <row r="719" spans="1:20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</row>
    <row r="720" spans="1:20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</row>
    <row r="721" spans="1:20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</row>
    <row r="722" spans="1:20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</row>
    <row r="723" spans="1:20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</row>
    <row r="724" spans="1:20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</row>
    <row r="725" spans="1:20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</row>
    <row r="726" spans="1:20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</row>
    <row r="727" spans="1:20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</row>
    <row r="728" spans="1:20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</row>
    <row r="729" spans="1:20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</row>
    <row r="730" spans="1:20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</row>
    <row r="731" spans="1:20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</row>
    <row r="732" spans="1:20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</row>
    <row r="733" spans="1:20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</row>
    <row r="734" spans="1:20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</row>
    <row r="735" spans="1:20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</row>
    <row r="736" spans="1:20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</row>
    <row r="737" spans="1:20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</row>
    <row r="738" spans="1:20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</row>
    <row r="739" spans="1:20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</row>
    <row r="740" spans="1:20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</row>
    <row r="741" spans="1:20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</row>
    <row r="742" spans="1:20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</row>
    <row r="743" spans="1:20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</row>
    <row r="744" spans="1:20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</row>
    <row r="745" spans="1:20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</row>
    <row r="746" spans="1:20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</row>
    <row r="747" spans="1:20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</row>
    <row r="748" spans="1:20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</row>
    <row r="749" spans="1:20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</row>
    <row r="750" spans="1:20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</row>
    <row r="751" spans="1:20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</row>
    <row r="752" spans="1:20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</row>
    <row r="753" spans="1:20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</row>
    <row r="754" spans="1:20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</row>
    <row r="755" spans="1:20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</row>
    <row r="756" spans="1:20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</row>
    <row r="757" spans="1:20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</row>
    <row r="758" spans="1:20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</row>
    <row r="759" spans="1:20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</row>
    <row r="760" spans="1:20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</row>
    <row r="761" spans="1:20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</row>
    <row r="762" spans="1:20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</row>
    <row r="763" spans="1:20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</row>
    <row r="764" spans="1:20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</row>
    <row r="765" spans="1:20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</row>
    <row r="766" spans="1:20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</row>
    <row r="767" spans="1:20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</row>
    <row r="768" spans="1:20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</row>
    <row r="769" spans="1:20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</row>
    <row r="770" spans="1:20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</row>
    <row r="771" spans="1:20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</row>
    <row r="772" spans="1:20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</row>
    <row r="773" spans="1:20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</row>
    <row r="774" spans="1:20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</row>
    <row r="775" spans="1:20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</row>
    <row r="776" spans="1:20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</row>
    <row r="777" spans="1:20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</row>
    <row r="778" spans="1:20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</row>
    <row r="779" spans="1:20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</row>
    <row r="780" spans="1:20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</row>
    <row r="781" spans="1:20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</row>
    <row r="782" spans="1:20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</row>
    <row r="783" spans="1:20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</row>
    <row r="784" spans="1:20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</row>
    <row r="785" spans="1:20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</row>
    <row r="786" spans="1:20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</row>
    <row r="787" spans="1:20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</row>
    <row r="788" spans="1:20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</row>
    <row r="789" spans="1:20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</row>
    <row r="790" spans="1:20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</row>
    <row r="791" spans="1:20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</row>
    <row r="792" spans="1:20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</row>
    <row r="793" spans="1:20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</row>
    <row r="794" spans="1:20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</row>
    <row r="795" spans="1:20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</row>
    <row r="796" spans="1:20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</row>
    <row r="797" spans="1:20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</row>
    <row r="798" spans="1:20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</row>
    <row r="799" spans="1:20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</row>
    <row r="800" spans="1:20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</row>
    <row r="801" spans="1:20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</row>
    <row r="802" spans="1:20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</row>
    <row r="803" spans="1:20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</row>
    <row r="804" spans="1:20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</row>
    <row r="805" spans="1:20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</row>
    <row r="806" spans="1:2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</row>
    <row r="807" spans="1:20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</row>
    <row r="808" spans="1:20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</row>
    <row r="809" spans="1:20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</row>
    <row r="810" spans="1:20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</row>
    <row r="811" spans="1:20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</row>
    <row r="812" spans="1:20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</row>
    <row r="813" spans="1:20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</row>
    <row r="814" spans="1:20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</row>
    <row r="815" spans="1:20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</row>
    <row r="816" spans="1:20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</row>
    <row r="817" spans="1:20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</row>
    <row r="818" spans="1:20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</row>
    <row r="819" spans="1:20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</row>
    <row r="820" spans="1:20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</row>
    <row r="821" spans="1:20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</row>
    <row r="822" spans="1:20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</row>
    <row r="823" spans="1:20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</row>
    <row r="824" spans="1:20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</row>
    <row r="825" spans="1:20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</row>
    <row r="826" spans="1:20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</row>
    <row r="827" spans="1:20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</row>
    <row r="828" spans="1:20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</row>
    <row r="829" spans="1:20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</row>
    <row r="830" spans="1:20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</row>
    <row r="831" spans="1:20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</row>
    <row r="832" spans="1:20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</row>
    <row r="833" spans="1:20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</row>
    <row r="834" spans="1:20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</row>
    <row r="835" spans="1:20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</row>
    <row r="836" spans="1:20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</row>
    <row r="837" spans="1:20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</row>
    <row r="838" spans="1:20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</row>
    <row r="839" spans="1:20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</row>
    <row r="840" spans="1:20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</row>
    <row r="841" spans="1:20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</row>
    <row r="842" spans="1:20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</row>
    <row r="843" spans="1:20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</row>
    <row r="844" spans="1:20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</row>
    <row r="845" spans="1:20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</row>
    <row r="846" spans="1:20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</row>
    <row r="847" spans="1:20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</row>
    <row r="848" spans="1:20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</row>
    <row r="849" spans="1:20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</row>
    <row r="850" spans="1:20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</row>
    <row r="851" spans="1:20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</row>
    <row r="852" spans="1:20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</row>
    <row r="853" spans="1:20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</row>
    <row r="854" spans="1:20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</row>
    <row r="855" spans="1:20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</row>
    <row r="856" spans="1:20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</row>
    <row r="857" spans="1:20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</row>
    <row r="858" spans="1:20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</row>
    <row r="859" spans="1:20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</row>
    <row r="860" spans="1:20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</row>
    <row r="861" spans="1:20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</row>
    <row r="862" spans="1:20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</row>
    <row r="863" spans="1:20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</row>
    <row r="864" spans="1:20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</row>
    <row r="865" spans="1:20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</row>
    <row r="866" spans="1:20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</row>
    <row r="867" spans="1:20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</row>
    <row r="868" spans="1:20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</row>
    <row r="869" spans="1:20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</row>
    <row r="870" spans="1:20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</row>
    <row r="871" spans="1:20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</row>
    <row r="872" spans="1:20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</row>
    <row r="873" spans="1:20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</row>
    <row r="874" spans="1:20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</row>
    <row r="875" spans="1:20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</row>
    <row r="876" spans="1:20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</row>
    <row r="877" spans="1:20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</row>
    <row r="878" spans="1:20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</row>
    <row r="879" spans="1:20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</row>
    <row r="880" spans="1:20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</row>
    <row r="881" spans="1:20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</row>
    <row r="882" spans="1:20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</row>
    <row r="883" spans="1:20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</row>
    <row r="884" spans="1:20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</row>
    <row r="885" spans="1:20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</row>
    <row r="886" spans="1:20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</row>
    <row r="887" spans="1:20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</row>
    <row r="888" spans="1:20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</row>
    <row r="889" spans="1:20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</row>
    <row r="890" spans="1:20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</row>
    <row r="891" spans="1:20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</row>
    <row r="892" spans="1:20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</row>
    <row r="893" spans="1:20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</row>
    <row r="894" spans="1:20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</row>
    <row r="895" spans="1:20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</row>
    <row r="896" spans="1:20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</row>
    <row r="897" spans="1:20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</row>
    <row r="898" spans="1:20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</row>
    <row r="899" spans="1:20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</row>
    <row r="900" spans="1:20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</row>
    <row r="901" spans="1:20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</row>
    <row r="902" spans="1:20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</row>
    <row r="903" spans="1:20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</row>
    <row r="904" spans="1:20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</row>
    <row r="905" spans="1:20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</row>
    <row r="906" spans="1:2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</row>
    <row r="907" spans="1:20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</row>
    <row r="908" spans="1:20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</row>
    <row r="909" spans="1:20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</row>
    <row r="910" spans="1:20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</row>
    <row r="911" spans="1:20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</row>
    <row r="912" spans="1:20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</row>
    <row r="913" spans="1:20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</row>
    <row r="914" spans="1:20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</row>
    <row r="915" spans="1:20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</row>
    <row r="916" spans="1:20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</row>
    <row r="917" spans="1:20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</row>
    <row r="918" spans="1:20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</row>
    <row r="919" spans="1:20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</row>
    <row r="920" spans="1:20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</row>
    <row r="921" spans="1:20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</row>
    <row r="922" spans="1:20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</row>
    <row r="923" spans="1:20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</row>
    <row r="924" spans="1:20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</row>
    <row r="925" spans="1:20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</row>
    <row r="926" spans="1:20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</row>
    <row r="927" spans="1:20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</row>
    <row r="928" spans="1:20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</row>
    <row r="929" spans="1:20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</row>
    <row r="930" spans="1:20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</row>
    <row r="931" spans="1:20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</row>
    <row r="932" spans="1:20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</row>
    <row r="933" spans="1:20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</row>
    <row r="934" spans="1:20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</row>
    <row r="935" spans="1:20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</row>
    <row r="936" spans="1:20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</row>
    <row r="937" spans="1:20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</row>
    <row r="938" spans="1:20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</row>
    <row r="939" spans="1:20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</row>
    <row r="940" spans="1:20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</row>
    <row r="941" spans="1:20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</row>
    <row r="942" spans="1:20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</row>
    <row r="943" spans="1:20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</row>
    <row r="944" spans="1:20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</row>
    <row r="945" spans="1:20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</row>
    <row r="946" spans="1:20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</row>
    <row r="947" spans="1:20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</row>
    <row r="948" spans="1:20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</row>
    <row r="949" spans="1:20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</row>
    <row r="950" spans="1:20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</row>
    <row r="951" spans="1:20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</row>
    <row r="952" spans="1:20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</row>
    <row r="953" spans="1:20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</row>
    <row r="954" spans="1:20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</row>
    <row r="955" spans="1:20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</row>
    <row r="956" spans="1:20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</row>
    <row r="957" spans="1:20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</row>
    <row r="958" spans="1:20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</row>
    <row r="959" spans="1:20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</row>
    <row r="960" spans="1:20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</row>
    <row r="961" spans="1:20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</row>
    <row r="962" spans="1:20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</row>
    <row r="963" spans="1:20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</row>
    <row r="964" spans="1:20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</row>
    <row r="965" spans="1:20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</row>
    <row r="966" spans="1:20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</row>
    <row r="967" spans="1:20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</row>
    <row r="968" spans="1:20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</row>
    <row r="969" spans="1:20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</row>
    <row r="970" spans="1:20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</row>
    <row r="971" spans="1:20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</row>
    <row r="972" spans="1:20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</row>
    <row r="973" spans="1:20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</row>
    <row r="974" spans="1:20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</row>
    <row r="975" spans="1:20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</row>
    <row r="976" spans="1:20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</row>
    <row r="977" spans="1:20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</row>
    <row r="978" spans="1:20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</row>
    <row r="979" spans="1:20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</row>
    <row r="980" spans="1:20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</row>
    <row r="981" spans="1:20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</row>
    <row r="982" spans="1:20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</row>
    <row r="983" spans="1:20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</row>
    <row r="984" spans="1:20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</row>
    <row r="985" spans="1:20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</row>
    <row r="986" spans="1:20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</row>
    <row r="987" spans="1:20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</row>
    <row r="988" spans="1:20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</row>
    <row r="989" spans="1:20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</row>
    <row r="990" spans="1:20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</row>
    <row r="991" spans="1:20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</row>
    <row r="992" spans="1:20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</row>
    <row r="993" spans="1:20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</row>
    <row r="994" spans="1:20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</row>
    <row r="995" spans="1:20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</row>
    <row r="996" spans="1:20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</row>
    <row r="997" spans="1:20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</row>
    <row r="998" spans="1:20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</row>
    <row r="999" spans="1:20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</row>
    <row r="1000" spans="1:20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</row>
    <row r="1001" spans="1:206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</row>
    <row r="1002" spans="1:206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</row>
    <row r="1003" spans="1:206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</row>
  </sheetData>
  <conditionalFormatting sqref="B13:AA13">
    <cfRule type="cellIs" dxfId="6" priority="1" stopIfTrue="1" operator="notBetween">
      <formula>SUM(C13:R13)-0.1</formula>
      <formula>SUM(C13:R13)+0.1</formula>
    </cfRule>
  </conditionalFormatting>
  <conditionalFormatting sqref="K6">
    <cfRule type="cellIs" dxfId="5" priority="2" stopIfTrue="1" operator="notBetween">
      <formula>SUM(L6:N6)-0.1</formula>
      <formula>SUM(L6:N6)+0.1</formula>
    </cfRule>
  </conditionalFormatting>
  <conditionalFormatting sqref="X35">
    <cfRule type="cellIs" dxfId="4" priority="5" stopIfTrue="1" operator="notBetween">
      <formula>SUM(Y35:AA35)-0.1</formula>
      <formula>SUM(Y35:AA35)+0.1</formula>
    </cfRule>
  </conditionalFormatting>
  <conditionalFormatting sqref="AD13:AE13">
    <cfRule type="cellIs" dxfId="3" priority="3" stopIfTrue="1" operator="notBetween">
      <formula>SUM(AE13:AT13)-0.1</formula>
      <formula>SUM(AE13:AT13)+0.1</formula>
    </cfRule>
  </conditionalFormatting>
  <conditionalFormatting sqref="AF35:AM35">
    <cfRule type="cellIs" dxfId="2" priority="6" stopIfTrue="1" operator="notBetween">
      <formula>SUM(AG35:AI35)-0.1</formula>
      <formula>SUM(AG35:AI35)+0.1</formula>
    </cfRule>
  </conditionalFormatting>
  <conditionalFormatting sqref="AH13:BJ13 B44:S44">
    <cfRule type="cellIs" dxfId="1" priority="4" stopIfTrue="1" operator="notBetween">
      <formula>SUM(AI13:AX13)-0.1</formula>
      <formula>SUM(AI13:AX13)+0.1</formula>
    </cfRule>
  </conditionalFormatting>
  <conditionalFormatting sqref="AO35">
    <cfRule type="cellIs" dxfId="0" priority="7" stopIfTrue="1" operator="notBetween">
      <formula>SUM(AP35:AR35)-0.1</formula>
      <formula>SUM(AP35:AR35)+0.1</formula>
    </cfRule>
  </conditionalFormatting>
  <hyperlinks>
    <hyperlink ref="A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20F5-A1D2-4B33-9B89-496A6E76CFDF}">
  <dimension ref="A1:F67"/>
  <sheetViews>
    <sheetView tabSelected="1" workbookViewId="0">
      <selection activeCell="B2" sqref="B2"/>
    </sheetView>
  </sheetViews>
  <sheetFormatPr defaultRowHeight="14.5"/>
  <cols>
    <col min="2" max="2" width="18.08984375" bestFit="1" customWidth="1"/>
    <col min="3" max="3" width="10.26953125" customWidth="1"/>
    <col min="6" max="6" width="24.81640625" bestFit="1" customWidth="1"/>
  </cols>
  <sheetData>
    <row r="1" spans="1:6">
      <c r="A1" s="15" t="s">
        <v>131</v>
      </c>
      <c r="B1" s="16" t="s">
        <v>133</v>
      </c>
      <c r="C1" s="11"/>
      <c r="D1" s="11" t="s">
        <v>128</v>
      </c>
      <c r="E1" s="11" t="s">
        <v>129</v>
      </c>
      <c r="F1" s="15" t="s">
        <v>132</v>
      </c>
    </row>
    <row r="2" spans="1:6">
      <c r="A2" s="2">
        <v>2004</v>
      </c>
      <c r="B2" s="7">
        <v>357.00114616252927</v>
      </c>
      <c r="C2" s="7"/>
      <c r="E2" s="10" t="s">
        <v>51</v>
      </c>
      <c r="F2" s="7">
        <v>121.84</v>
      </c>
    </row>
    <row r="3" spans="1:6">
      <c r="A3" s="2">
        <v>2005</v>
      </c>
      <c r="B3" s="7">
        <v>418.02064648910232</v>
      </c>
      <c r="C3" s="7"/>
      <c r="E3" s="10" t="s">
        <v>52</v>
      </c>
      <c r="F3" s="7">
        <v>142.22</v>
      </c>
    </row>
    <row r="4" spans="1:6">
      <c r="A4" s="2">
        <v>2006</v>
      </c>
      <c r="B4" s="7">
        <v>467.15</v>
      </c>
      <c r="C4" s="7"/>
      <c r="E4" s="10" t="s">
        <v>53</v>
      </c>
      <c r="F4" s="7">
        <v>174.74</v>
      </c>
    </row>
    <row r="5" spans="1:6">
      <c r="A5" s="2">
        <v>2007</v>
      </c>
      <c r="B5" s="7">
        <v>588.53317330232892</v>
      </c>
      <c r="C5" s="7"/>
      <c r="D5" s="14">
        <v>2009</v>
      </c>
      <c r="E5" s="10" t="s">
        <v>130</v>
      </c>
      <c r="F5" s="7">
        <v>146.88999999999999</v>
      </c>
    </row>
    <row r="6" spans="1:6">
      <c r="A6" s="2">
        <v>2008</v>
      </c>
      <c r="B6" s="7">
        <v>608.72</v>
      </c>
      <c r="C6" s="7"/>
      <c r="E6" s="10" t="s">
        <v>51</v>
      </c>
      <c r="F6" s="7">
        <v>120.69</v>
      </c>
    </row>
    <row r="7" spans="1:6">
      <c r="A7" s="2">
        <v>2009</v>
      </c>
      <c r="B7" s="7">
        <v>585.70000000000005</v>
      </c>
      <c r="C7" s="7"/>
      <c r="E7" s="10" t="s">
        <v>19</v>
      </c>
      <c r="F7" s="7">
        <v>145</v>
      </c>
    </row>
    <row r="8" spans="1:6">
      <c r="A8" s="2">
        <v>2010</v>
      </c>
      <c r="B8" s="7">
        <v>584.33000000000004</v>
      </c>
      <c r="C8" s="7"/>
      <c r="E8" s="10" t="s">
        <v>20</v>
      </c>
      <c r="F8" s="7">
        <v>165</v>
      </c>
    </row>
    <row r="9" spans="1:6">
      <c r="A9" s="2">
        <v>2011</v>
      </c>
      <c r="B9" s="7">
        <v>492.52338907627859</v>
      </c>
      <c r="C9" s="7"/>
      <c r="D9" s="14">
        <v>2010</v>
      </c>
      <c r="E9" s="10" t="s">
        <v>130</v>
      </c>
      <c r="F9" s="7">
        <v>153.63999999999999</v>
      </c>
    </row>
    <row r="10" spans="1:6">
      <c r="A10" s="2">
        <v>2012</v>
      </c>
      <c r="B10" s="7">
        <v>516.35550608673952</v>
      </c>
      <c r="C10" s="7"/>
      <c r="E10" s="10" t="s">
        <v>18</v>
      </c>
      <c r="F10" s="7">
        <v>117.57374796049191</v>
      </c>
    </row>
    <row r="11" spans="1:6">
      <c r="A11" s="2">
        <v>2013</v>
      </c>
      <c r="B11" s="12">
        <v>573.39242344322633</v>
      </c>
      <c r="C11" s="12"/>
      <c r="E11" s="10" t="s">
        <v>19</v>
      </c>
      <c r="F11" s="7">
        <v>115.3407479997244</v>
      </c>
    </row>
    <row r="12" spans="1:6">
      <c r="A12" s="2">
        <v>2014</v>
      </c>
      <c r="B12" s="7">
        <v>622.27888018210251</v>
      </c>
      <c r="C12" s="7"/>
      <c r="E12" s="10" t="s">
        <v>20</v>
      </c>
      <c r="F12" s="7">
        <v>128.2461221317883</v>
      </c>
    </row>
    <row r="13" spans="1:6">
      <c r="A13" s="2">
        <v>2015</v>
      </c>
      <c r="B13" s="7">
        <v>665.48690670885071</v>
      </c>
      <c r="C13" s="7"/>
      <c r="D13">
        <v>2011</v>
      </c>
      <c r="E13" s="10" t="s">
        <v>130</v>
      </c>
      <c r="F13" s="7">
        <v>131.36277098427396</v>
      </c>
    </row>
    <row r="14" spans="1:6">
      <c r="A14" s="2">
        <v>2016</v>
      </c>
      <c r="B14" s="7">
        <v>690.95705595885238</v>
      </c>
      <c r="C14" s="7"/>
      <c r="E14" s="10" t="s">
        <v>18</v>
      </c>
      <c r="F14" s="7">
        <v>108.74158839658891</v>
      </c>
    </row>
    <row r="15" spans="1:6">
      <c r="A15" s="2">
        <v>2017</v>
      </c>
      <c r="B15" s="7">
        <v>759.18854275040042</v>
      </c>
      <c r="C15" s="7"/>
      <c r="E15" s="10" t="s">
        <v>19</v>
      </c>
      <c r="F15" s="7">
        <v>124.24706892773796</v>
      </c>
    </row>
    <row r="16" spans="1:6">
      <c r="A16" s="2">
        <v>2018</v>
      </c>
      <c r="B16" s="7">
        <v>800.56765026548976</v>
      </c>
      <c r="C16" s="7"/>
      <c r="E16" s="10" t="s">
        <v>20</v>
      </c>
      <c r="F16" s="7">
        <v>132.84079040252811</v>
      </c>
    </row>
    <row r="17" spans="1:6">
      <c r="A17" s="2">
        <v>2019</v>
      </c>
      <c r="B17" s="7">
        <v>851.53224643153692</v>
      </c>
      <c r="C17" s="7"/>
      <c r="D17">
        <v>2012</v>
      </c>
      <c r="E17" s="10" t="s">
        <v>130</v>
      </c>
      <c r="F17" s="7">
        <v>150.52605835988447</v>
      </c>
    </row>
    <row r="18" spans="1:6">
      <c r="A18" s="2">
        <v>2020</v>
      </c>
      <c r="B18" s="7">
        <v>979.97910293260793</v>
      </c>
      <c r="C18" s="7"/>
      <c r="E18" s="10" t="s">
        <v>18</v>
      </c>
      <c r="F18" s="7">
        <v>125.82419190958638</v>
      </c>
    </row>
    <row r="19" spans="1:6">
      <c r="A19" s="2">
        <v>2021</v>
      </c>
      <c r="B19" s="7">
        <v>1153.3633830745998</v>
      </c>
      <c r="C19" s="7"/>
      <c r="E19" s="10" t="s">
        <v>19</v>
      </c>
      <c r="F19" s="7">
        <v>148.57652378337372</v>
      </c>
    </row>
    <row r="20" spans="1:6">
      <c r="A20" s="2">
        <v>2022</v>
      </c>
      <c r="B20" s="7">
        <v>1222.8068966768799</v>
      </c>
      <c r="C20" s="7"/>
      <c r="E20" s="10" t="s">
        <v>20</v>
      </c>
      <c r="F20" s="7">
        <v>145.46080984178008</v>
      </c>
    </row>
    <row r="21" spans="1:6">
      <c r="A21" s="2">
        <v>2023</v>
      </c>
      <c r="B21" s="7">
        <v>1335.7617347693517</v>
      </c>
      <c r="C21" s="7"/>
      <c r="D21">
        <v>2013</v>
      </c>
      <c r="E21" s="10" t="s">
        <v>130</v>
      </c>
      <c r="F21" s="7">
        <v>153.53089790848611</v>
      </c>
    </row>
    <row r="22" spans="1:6">
      <c r="A22" s="2">
        <v>2024</v>
      </c>
      <c r="B22" s="7">
        <v>1355.0109741965646</v>
      </c>
      <c r="C22" s="7"/>
      <c r="E22" s="10" t="s">
        <v>18</v>
      </c>
      <c r="F22" s="7">
        <v>134.15701931210398</v>
      </c>
    </row>
    <row r="23" spans="1:6">
      <c r="E23" s="10" t="s">
        <v>19</v>
      </c>
      <c r="F23" s="7">
        <v>156.74945032200463</v>
      </c>
    </row>
    <row r="24" spans="1:6">
      <c r="E24" s="10" t="s">
        <v>20</v>
      </c>
      <c r="F24" s="7">
        <v>157.78909177741167</v>
      </c>
    </row>
    <row r="25" spans="1:6">
      <c r="D25" s="14">
        <v>2014</v>
      </c>
      <c r="E25" s="10" t="s">
        <v>130</v>
      </c>
      <c r="F25" s="7">
        <v>173.58331877058231</v>
      </c>
    </row>
    <row r="26" spans="1:6">
      <c r="E26" s="10" t="s">
        <v>18</v>
      </c>
      <c r="F26" s="7">
        <v>147.13980335923162</v>
      </c>
    </row>
    <row r="27" spans="1:6">
      <c r="E27" s="10" t="s">
        <v>19</v>
      </c>
      <c r="F27" s="7">
        <v>169.76069051139484</v>
      </c>
    </row>
    <row r="28" spans="1:6">
      <c r="E28" s="10" t="s">
        <v>20</v>
      </c>
      <c r="F28" s="7">
        <v>176.86525329534402</v>
      </c>
    </row>
    <row r="29" spans="1:6">
      <c r="D29" s="14">
        <v>2015</v>
      </c>
      <c r="E29" s="10" t="s">
        <v>130</v>
      </c>
      <c r="F29" s="7">
        <v>171.72115954288017</v>
      </c>
    </row>
    <row r="30" spans="1:6">
      <c r="E30" s="10" t="s">
        <v>18</v>
      </c>
      <c r="F30" s="7">
        <v>144.27074306465457</v>
      </c>
    </row>
    <row r="31" spans="1:6">
      <c r="E31" s="10" t="s">
        <v>19</v>
      </c>
      <c r="F31" s="7">
        <v>177.55474963029479</v>
      </c>
    </row>
    <row r="32" spans="1:6">
      <c r="E32" s="10" t="s">
        <v>20</v>
      </c>
      <c r="F32" s="7">
        <v>182.70330627857354</v>
      </c>
    </row>
    <row r="33" spans="4:6">
      <c r="D33">
        <v>2016</v>
      </c>
      <c r="E33" s="10" t="s">
        <v>130</v>
      </c>
      <c r="F33" s="7">
        <v>186.42825698532951</v>
      </c>
    </row>
    <row r="34" spans="4:6">
      <c r="E34" s="10" t="s">
        <v>18</v>
      </c>
      <c r="F34" s="7">
        <v>163.38884052218376</v>
      </c>
    </row>
    <row r="35" spans="4:6">
      <c r="E35" s="10" t="s">
        <v>19</v>
      </c>
      <c r="F35" s="7">
        <v>196.5374577780259</v>
      </c>
    </row>
    <row r="36" spans="4:6">
      <c r="E36" s="10" t="s">
        <v>20</v>
      </c>
      <c r="F36" s="7">
        <v>194.07160714004576</v>
      </c>
    </row>
    <row r="37" spans="4:6">
      <c r="D37">
        <v>2017</v>
      </c>
      <c r="E37" s="10" t="s">
        <v>130</v>
      </c>
      <c r="F37" s="7">
        <v>205.19063731014492</v>
      </c>
    </row>
    <row r="38" spans="4:6">
      <c r="E38" s="10" t="s">
        <v>18</v>
      </c>
      <c r="F38" s="7">
        <v>170.44976442822752</v>
      </c>
    </row>
    <row r="39" spans="4:6">
      <c r="E39" s="10" t="s">
        <v>19</v>
      </c>
      <c r="F39" s="7">
        <v>214.17937380233627</v>
      </c>
    </row>
    <row r="40" spans="4:6">
      <c r="E40" s="10" t="s">
        <v>20</v>
      </c>
      <c r="F40" s="7">
        <v>203.39830946400531</v>
      </c>
    </row>
    <row r="41" spans="4:6">
      <c r="D41">
        <v>2018</v>
      </c>
      <c r="E41" s="10" t="s">
        <v>130</v>
      </c>
      <c r="F41" s="7">
        <v>212.54020257092071</v>
      </c>
    </row>
    <row r="42" spans="4:6">
      <c r="E42" s="10" t="s">
        <v>18</v>
      </c>
      <c r="F42" s="7">
        <v>184.65882421832012</v>
      </c>
    </row>
    <row r="43" spans="4:6">
      <c r="E43" s="10" t="s">
        <v>19</v>
      </c>
      <c r="F43" s="7">
        <v>220.70892046706086</v>
      </c>
    </row>
    <row r="44" spans="4:6">
      <c r="E44" s="10" t="s">
        <v>20</v>
      </c>
      <c r="F44" s="7">
        <v>222.02031323743824</v>
      </c>
    </row>
    <row r="45" spans="4:6">
      <c r="D45" s="14">
        <v>2019</v>
      </c>
      <c r="E45" s="10" t="s">
        <v>130</v>
      </c>
      <c r="F45" s="7">
        <v>224.14418850871766</v>
      </c>
    </row>
    <row r="46" spans="4:6">
      <c r="E46" s="10" t="s">
        <v>18</v>
      </c>
      <c r="F46" s="7">
        <v>187.33210343398511</v>
      </c>
    </row>
    <row r="47" spans="4:6">
      <c r="E47" s="10" t="s">
        <v>19</v>
      </c>
      <c r="F47" s="7">
        <v>247.19533049699498</v>
      </c>
    </row>
    <row r="48" spans="4:6">
      <c r="E48" s="10" t="s">
        <v>20</v>
      </c>
      <c r="F48" s="7">
        <v>262.25525502250832</v>
      </c>
    </row>
    <row r="49" spans="4:6">
      <c r="D49" s="14">
        <v>2020</v>
      </c>
      <c r="E49" s="10" t="s">
        <v>130</v>
      </c>
      <c r="F49" s="7">
        <v>283.19641397911948</v>
      </c>
    </row>
    <row r="50" spans="4:6">
      <c r="E50" s="10" t="s">
        <v>18</v>
      </c>
      <c r="F50" s="7">
        <v>242.92612101808393</v>
      </c>
    </row>
    <row r="51" spans="4:6">
      <c r="E51" s="10" t="s">
        <v>19</v>
      </c>
      <c r="F51" s="7">
        <v>311.54968310806237</v>
      </c>
    </row>
    <row r="52" spans="4:6">
      <c r="E52" s="10" t="s">
        <v>20</v>
      </c>
      <c r="F52" s="7">
        <v>307.30202737158203</v>
      </c>
    </row>
    <row r="53" spans="4:6">
      <c r="D53">
        <v>2021</v>
      </c>
      <c r="E53" s="10" t="s">
        <v>130</v>
      </c>
      <c r="F53" s="7">
        <v>291.58555157687101</v>
      </c>
    </row>
    <row r="54" spans="4:6">
      <c r="E54" s="10" t="s">
        <v>18</v>
      </c>
      <c r="F54" s="7">
        <v>241.28127136762672</v>
      </c>
    </row>
    <row r="55" spans="4:6">
      <c r="E55" s="10" t="s">
        <v>19</v>
      </c>
      <c r="F55" s="7">
        <v>314.1077417408419</v>
      </c>
    </row>
    <row r="56" spans="4:6">
      <c r="E56" s="10" t="s">
        <v>20</v>
      </c>
      <c r="F56" s="7">
        <v>349.12433591845877</v>
      </c>
    </row>
    <row r="57" spans="4:6">
      <c r="D57">
        <v>2022</v>
      </c>
      <c r="E57" s="10" t="s">
        <v>130</v>
      </c>
      <c r="F57" s="7">
        <v>318.29354764995497</v>
      </c>
    </row>
    <row r="58" spans="4:6">
      <c r="E58" s="10" t="s">
        <v>18</v>
      </c>
      <c r="F58" s="7">
        <v>271.2587780609494</v>
      </c>
    </row>
    <row r="59" spans="4:6">
      <c r="E59" s="10" t="s">
        <v>19</v>
      </c>
      <c r="F59" s="7">
        <v>356.19881664984734</v>
      </c>
    </row>
    <row r="60" spans="4:6">
      <c r="E60" s="10" t="s">
        <v>20</v>
      </c>
      <c r="F60" s="7">
        <v>374.17676926530305</v>
      </c>
    </row>
    <row r="61" spans="4:6">
      <c r="D61">
        <v>2023</v>
      </c>
      <c r="E61" s="10" t="s">
        <v>130</v>
      </c>
      <c r="F61" s="7">
        <v>334.12737079325211</v>
      </c>
    </row>
    <row r="62" spans="4:6">
      <c r="E62" s="10" t="s">
        <v>18</v>
      </c>
      <c r="F62" s="7">
        <v>281.02289813320658</v>
      </c>
    </row>
    <row r="63" spans="4:6">
      <c r="E63" s="10" t="s">
        <v>19</v>
      </c>
      <c r="F63" s="7">
        <v>349.04430250982841</v>
      </c>
    </row>
    <row r="64" spans="4:6">
      <c r="E64" s="10" t="s">
        <v>20</v>
      </c>
      <c r="F64" s="7">
        <v>380.74204671380755</v>
      </c>
    </row>
    <row r="65" spans="4:6">
      <c r="D65" s="14">
        <v>2024</v>
      </c>
      <c r="E65" s="10" t="s">
        <v>130</v>
      </c>
      <c r="F65" s="7">
        <f>SUM(F197:F199)</f>
        <v>0</v>
      </c>
    </row>
    <row r="66" spans="4:6">
      <c r="E66" s="10" t="s">
        <v>18</v>
      </c>
      <c r="F66" s="7">
        <f>SUM(F200:F202)</f>
        <v>0</v>
      </c>
    </row>
    <row r="67" spans="4:6">
      <c r="D67">
        <v>2025</v>
      </c>
      <c r="E67" s="10" t="s">
        <v>19</v>
      </c>
      <c r="F67" s="7">
        <f>SUM(F203:F205)</f>
        <v>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Dergesat e emigranteve </vt:lpstr>
      <vt:lpstr>Remittances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Pedroni</cp:lastModifiedBy>
  <dcterms:created xsi:type="dcterms:W3CDTF">2025-09-05T11:00:06Z</dcterms:created>
  <dcterms:modified xsi:type="dcterms:W3CDTF">2026-04-22T10:09:12Z</dcterms:modified>
</cp:coreProperties>
</file>